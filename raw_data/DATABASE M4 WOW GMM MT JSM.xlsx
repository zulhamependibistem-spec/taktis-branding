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wproject\raw_data\"/>
    </mc:Choice>
  </mc:AlternateContent>
  <xr:revisionPtr revIDLastSave="0" documentId="13_ncr:1_{0FD5D549-90DB-4758-95AE-AC3320FF70CE}" xr6:coauthVersionLast="47" xr6:coauthVersionMax="47" xr10:uidLastSave="{00000000-0000-0000-0000-000000000000}"/>
  <bookViews>
    <workbookView xWindow="-108" yWindow="-108" windowWidth="23256" windowHeight="12456" activeTab="2" xr2:uid="{00000000-000D-0000-FFFF-FFFF00000000}"/>
  </bookViews>
  <sheets>
    <sheet name="AKTIF" sheetId="1" r:id="rId1"/>
    <sheet name="NON AKTIF" sheetId="2" r:id="rId2"/>
    <sheet name="BACK U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 i="2" l="1"/>
  <c r="S19" i="2"/>
  <c r="AR54" i="1"/>
  <c r="AR53" i="1"/>
  <c r="AR52" i="1"/>
  <c r="AR51" i="1"/>
  <c r="AR50" i="1"/>
  <c r="AR49" i="1"/>
  <c r="AR48" i="1"/>
  <c r="AR47" i="1"/>
  <c r="AR46" i="1"/>
  <c r="AR45" i="1"/>
  <c r="AR44" i="1"/>
  <c r="AR43" i="1"/>
  <c r="AR42" i="1"/>
  <c r="AR41" i="1"/>
  <c r="AR40" i="1"/>
  <c r="AR39" i="1"/>
  <c r="AR38" i="1"/>
  <c r="AR37" i="1"/>
  <c r="AR36" i="1"/>
  <c r="AR35" i="1"/>
  <c r="AR34" i="1"/>
  <c r="AR33" i="1"/>
  <c r="AR32" i="1"/>
  <c r="AR31" i="1"/>
  <c r="AR30" i="1"/>
  <c r="AR29" i="1"/>
  <c r="AR28" i="1"/>
  <c r="AR27" i="1"/>
  <c r="AR26" i="1"/>
  <c r="AR25" i="1"/>
  <c r="AR24" i="1"/>
  <c r="AR23" i="1"/>
  <c r="AR22" i="1"/>
  <c r="AR21" i="1"/>
  <c r="AR20" i="1"/>
  <c r="AR19" i="1"/>
  <c r="AR18" i="1"/>
  <c r="AR17" i="1"/>
  <c r="AR16" i="1"/>
  <c r="AR15" i="1"/>
  <c r="AR14" i="1"/>
  <c r="AR13" i="1"/>
  <c r="AR12" i="1"/>
  <c r="AR11" i="1"/>
  <c r="AR10" i="1"/>
  <c r="AR9" i="1"/>
  <c r="AR8" i="1"/>
  <c r="AR7" i="1"/>
  <c r="AR6" i="1"/>
  <c r="AR5" i="1"/>
  <c r="AR4" i="1"/>
  <c r="AR3" i="1"/>
  <c r="AR2" i="1"/>
</calcChain>
</file>

<file path=xl/sharedStrings.xml><?xml version="1.0" encoding="utf-8"?>
<sst xmlns="http://schemas.openxmlformats.org/spreadsheetml/2006/main" count="5011" uniqueCount="2456">
  <si>
    <t>NIP</t>
  </si>
  <si>
    <t>PIC/ADMIN</t>
  </si>
  <si>
    <t>TANGGAL MASUK KERJA</t>
  </si>
  <si>
    <t>TANGGAL BACK UP</t>
  </si>
  <si>
    <t>PROJECT</t>
  </si>
  <si>
    <t>NAMA (SESUAI KTP)</t>
  </si>
  <si>
    <t>NOMOR KTP (NIK)</t>
  </si>
  <si>
    <t>TEMPAT LAHIR</t>
  </si>
  <si>
    <t>TGL LAHIR</t>
  </si>
  <si>
    <t>EMAIL</t>
  </si>
  <si>
    <t>NO. TLP</t>
  </si>
  <si>
    <t>ALAMAT SESUAI KTP</t>
  </si>
  <si>
    <t>STATUS PTKP</t>
  </si>
  <si>
    <t>GENDER</t>
  </si>
  <si>
    <t>TB/BB</t>
  </si>
  <si>
    <t>LULUSAN</t>
  </si>
  <si>
    <t>NO. SIM</t>
  </si>
  <si>
    <t>NO. KK</t>
  </si>
  <si>
    <t>NAMA IBU KANDUNG</t>
  </si>
  <si>
    <t>PENGALAMAN KERJA</t>
  </si>
  <si>
    <t>REGIONAL</t>
  </si>
  <si>
    <t>AREA</t>
  </si>
  <si>
    <t>JABATAN</t>
  </si>
  <si>
    <t>NO. NPWP</t>
  </si>
  <si>
    <t>NAMA SESUAI NPWP</t>
  </si>
  <si>
    <t>BANK</t>
  </si>
  <si>
    <t>NO. REKENING</t>
  </si>
  <si>
    <t>NAMA SESUAI REKENING</t>
  </si>
  <si>
    <t>ALAMAT DOMISILI</t>
  </si>
  <si>
    <t>KOTA DOMISILI</t>
  </si>
  <si>
    <t>AGAMA</t>
  </si>
  <si>
    <t>STATUS KERJA</t>
  </si>
  <si>
    <t>NAMA KONTAK DARURAT</t>
  </si>
  <si>
    <t>HUBUNGAN KELUARGA</t>
  </si>
  <si>
    <t>NO. HANPHONE</t>
  </si>
  <si>
    <t>NO. BPJS- TK</t>
  </si>
  <si>
    <t>NO. BPJS-KES</t>
  </si>
  <si>
    <t>TANGGAL RESIGN</t>
  </si>
  <si>
    <t>FOTO KTP</t>
  </si>
  <si>
    <t>FOTO KARTU KELUARGA</t>
  </si>
  <si>
    <t>ALASAN RESIGN</t>
  </si>
  <si>
    <t>FOTO BUKU TABUNGAN</t>
  </si>
  <si>
    <t>FOTO SKCK</t>
  </si>
  <si>
    <t>PENGGANTI</t>
  </si>
  <si>
    <t>FOTO NPWP</t>
  </si>
  <si>
    <t>FOTO SIM</t>
  </si>
  <si>
    <t>PAS FOTO</t>
  </si>
  <si>
    <t>AREA UMK</t>
  </si>
  <si>
    <t>NAMA MPP YANG DIBACKUP</t>
  </si>
  <si>
    <t>FOTO DIRI</t>
  </si>
  <si>
    <t>NAMA TOKO</t>
  </si>
  <si>
    <t>NIK MPP YANG DIBACKUP</t>
  </si>
  <si>
    <t>ALASAN BACK UP</t>
  </si>
  <si>
    <t>TEAM LEADER</t>
  </si>
  <si>
    <t>FOTO KK</t>
  </si>
  <si>
    <t>JENIS</t>
  </si>
  <si>
    <t>NENDEN/ZULHAM</t>
  </si>
  <si>
    <t>SUCAHYONO/ZULHAM</t>
  </si>
  <si>
    <t>GMM WOW SPAGETI JSM NASIONAL</t>
  </si>
  <si>
    <t>FAHMI LUKMANUL HAKIM, S.KOM.</t>
  </si>
  <si>
    <t>3278082606890008</t>
  </si>
  <si>
    <t>NOVANDA SHINTA DEWI</t>
  </si>
  <si>
    <t>3302255611960003</t>
  </si>
  <si>
    <t>TASIKMALAYA</t>
  </si>
  <si>
    <t>PURWOKERTO</t>
  </si>
  <si>
    <t>16/11/1996</t>
  </si>
  <si>
    <t>29-Mei-2026</t>
  </si>
  <si>
    <t>DIAJENGNAFEEZAANINDIRA02@GMAIL.COM</t>
  </si>
  <si>
    <t>085135090159</t>
  </si>
  <si>
    <t>JL.RA WIRYAATMAJA RT 5 RW 4 KEDUNGWULUH PURWOKERTO BARAT</t>
  </si>
  <si>
    <t>K/3</t>
  </si>
  <si>
    <t>GINA FITRIANTI NUGRAHA</t>
  </si>
  <si>
    <t>P</t>
  </si>
  <si>
    <t>158/50</t>
  </si>
  <si>
    <t>SMA</t>
  </si>
  <si>
    <t>3278035106880008</t>
  </si>
  <si>
    <t xml:space="preserve">TASIKMALAYA </t>
  </si>
  <si>
    <t>3302252811190001</t>
  </si>
  <si>
    <t>GINAASUS21@GMAIL.COM</t>
  </si>
  <si>
    <t>FAHMI.ELHAKIM2@GMAIL.COM</t>
  </si>
  <si>
    <t>BUDI PURWANTI</t>
  </si>
  <si>
    <t>082240027119</t>
  </si>
  <si>
    <t>085318987838</t>
  </si>
  <si>
    <t>JL.R.IKIKW WIRADIKARTA GG.KALEKTORAN NO 27</t>
  </si>
  <si>
    <t>JL. RIUNG ASIH RT 003 RW 011, KEL. TUGURAJA, KEC. MANGKUBUMI, KOTA TASIKMALAYA</t>
  </si>
  <si>
    <t>K/1</t>
  </si>
  <si>
    <t>SPG EVENT PERMEN FOX,SPG EVENT ACARAKI,SPG REGULER BIORE,SPG EVENT CHOCODRINK,SPG EVENT EMERON,SPG EVENT MINUMAN ALL WINGS REGULER,SPG EVENT REGULER BUMBOO FAT OIL</t>
  </si>
  <si>
    <t>L</t>
  </si>
  <si>
    <t>161/65</t>
  </si>
  <si>
    <t>168/65</t>
  </si>
  <si>
    <t>JAWA TENGAH</t>
  </si>
  <si>
    <t>KABUPATEN PURWOKERTO</t>
  </si>
  <si>
    <t>S-1</t>
  </si>
  <si>
    <t>SPG STAY JSM</t>
  </si>
  <si>
    <t>13348906000448</t>
  </si>
  <si>
    <t>3278030902100016</t>
  </si>
  <si>
    <t>3278011704180009</t>
  </si>
  <si>
    <t>BCA</t>
  </si>
  <si>
    <t>SUMIATI</t>
  </si>
  <si>
    <t>ONENG MUHIBAH</t>
  </si>
  <si>
    <t>TEAM LEADER EVENT, JSM, REGULER</t>
  </si>
  <si>
    <t>PERUM GRIYA SATRIA MANDALATAMA BLOK 15 NO.8 KARANGLEWAS KIDUL</t>
  </si>
  <si>
    <t>JAWA BARAT</t>
  </si>
  <si>
    <t>KABUPATEN TASIKMALAYA</t>
  </si>
  <si>
    <t>SPG UNILEVER,SPG MAYORA,SPG WINGS</t>
  </si>
  <si>
    <t>ISLAM</t>
  </si>
  <si>
    <t>TL SENIOR</t>
  </si>
  <si>
    <t>462879149425000</t>
  </si>
  <si>
    <t>KABUPATEN BANDUNG</t>
  </si>
  <si>
    <t>FAHMI LUKMANUL HAKIM</t>
  </si>
  <si>
    <t>SPG BACK UP</t>
  </si>
  <si>
    <t>0540910162</t>
  </si>
  <si>
    <t>KOTA TASIKMALAYA</t>
  </si>
  <si>
    <t>AKTIF</t>
  </si>
  <si>
    <t xml:space="preserve">GINA FITRIANTI NUGRAHA </t>
  </si>
  <si>
    <t>JL. R.IKIK WIRADIKARTA GG KALEKTORAN NO.27</t>
  </si>
  <si>
    <t>NON-AKTIF</t>
  </si>
  <si>
    <t>MENDAPATKAN PEKERJAAN BARU</t>
  </si>
  <si>
    <t>GITA DESIANTI NUGRAHA</t>
  </si>
  <si>
    <t>https://drive.google.com/open?id=1SxHO4B5JaaFm955yLsJU0A6endwbq5HJ</t>
  </si>
  <si>
    <t>https://drive.google.com/open?id=1SrzSWQdVfonmRyN3YyqLet9CIA27mp_z</t>
  </si>
  <si>
    <t>https://drive.google.com/open?id=1omwKu75aGQgHoJl7LTcnBtFud2qioxJr</t>
  </si>
  <si>
    <t>https://drive.google.com/open?id=1vCtEJgnzM33jQ1b61xxtjKNoRzl3RgEo</t>
  </si>
  <si>
    <t>https://drive.google.com/open?id=12wYWl0OtJjxhOTY5QtmVdUmCdj72npPr</t>
  </si>
  <si>
    <t>https://drive.google.com/open?id=1X0fN5onFuu3BvUstFxkrJAhSk6a2DwC-</t>
  </si>
  <si>
    <t>https://drive.google.com/open?id=1xyr4ilNf_TbPCxLlftJ80EM2fP-1OOcd</t>
  </si>
  <si>
    <t>https://drive.google.com/open?id=1gWOMeCUIydWvw5hH389v3pSluZp_PjEW</t>
  </si>
  <si>
    <t>https://drive.google.com/open?id=15RMidgQ1pUJbxBkMBrSBN4wvMF-dPkyS</t>
  </si>
  <si>
    <t>https://drive.google.com/open?id=1rbGYg5j2ZBRb_PFB-JP71GCL-yDg0NE5</t>
  </si>
  <si>
    <t>https://drive.google.com/open?id=1W_nVn12L_EbFrxAhsHqGsDwibQUIDl4e</t>
  </si>
  <si>
    <t>https://drive.google.com/open?id=10ZwSZgzaU59-rFzL-qXX8Fcxa9hq0Xha</t>
  </si>
  <si>
    <t>https://drive.google.com/open?id=1pwfekv4p1iWWf2vUYSnAR3AOczubHDg_</t>
  </si>
  <si>
    <t>https://drive.google.com/open?id=1Xtl-46CgitC0mD-fG0wVSa2wWmcvPLiK</t>
  </si>
  <si>
    <t>14 AGUSTUS 2026</t>
  </si>
  <si>
    <t xml:space="preserve">HANNA REFA AMALIA </t>
  </si>
  <si>
    <t>3328135901080003</t>
  </si>
  <si>
    <t xml:space="preserve">TEGAL </t>
  </si>
  <si>
    <t>19/01/2008</t>
  </si>
  <si>
    <t>HANNAREFAAMALIA@GMAIL.COM</t>
  </si>
  <si>
    <t>0895321719990</t>
  </si>
  <si>
    <t xml:space="preserve">DESA DEBONG WETAN RT 05 RW 01 </t>
  </si>
  <si>
    <t>K/0</t>
  </si>
  <si>
    <t>154/64</t>
  </si>
  <si>
    <t>3328132102080461</t>
  </si>
  <si>
    <t xml:space="preserve">KHODIJAH </t>
  </si>
  <si>
    <t xml:space="preserve">KASIR </t>
  </si>
  <si>
    <t>KOTA TEGAL</t>
  </si>
  <si>
    <t xml:space="preserve">SHOPEEPAY </t>
  </si>
  <si>
    <t>HANNA REFA AMALIA</t>
  </si>
  <si>
    <t xml:space="preserve">DEBONG WETAN </t>
  </si>
  <si>
    <t xml:space="preserve">KABUPATEN TEGAL </t>
  </si>
  <si>
    <t>https://drive.google.com/open?id=1RqWnJpk8ZUaFXsyT1vDGo_g5rGqVbUp7</t>
  </si>
  <si>
    <t>https://drive.google.com/open?id=18ay5GrcaNb6RKPw-IzvNfVRPiH3pGUgo</t>
  </si>
  <si>
    <t>https://drive.google.com/open?id=1WaKzxW46hjlu9dB6w297_Accy0t-Wmsg</t>
  </si>
  <si>
    <t>https://drive.google.com/open?id=1IIfUbqt1wpUfcPAS4SgJIFD2F1SH8W-l</t>
  </si>
  <si>
    <t>https://drive.google.com/open?id=1RQ1a6cGZJfRBGpVFJPx9i6HjE7GO7FDd</t>
  </si>
  <si>
    <t>https://drive.google.com/open?id=15e0xWJdG7UedUD26IWGDsOg59Kg5rLhs</t>
  </si>
  <si>
    <t xml:space="preserve">SHEILLA NAVISYA
</t>
  </si>
  <si>
    <t>3328115909050003</t>
  </si>
  <si>
    <t>https://drive.google.com/open?id=1EGu9VTxZ2O2fdvLP7aTq-hCU3uOlJa3W</t>
  </si>
  <si>
    <t>https://drive.google.com/open?id=1jDniciALnyQZmhTxRQ9dljKnZZLz8lV7</t>
  </si>
  <si>
    <t>https://drive.google.com/open?id=1x5FJ8x_CDYQlDDpjuwQGhf-B4Bnpu8Au</t>
  </si>
  <si>
    <t>https://drive.google.com/open?id=1khbuOdZwsUmiGHyzw9FyAs9K-6QovR6L</t>
  </si>
  <si>
    <t>https://drive.google.com/open?id=1B9DJUO4jhx64Xxncj8ENd7KaAanZGCtX</t>
  </si>
  <si>
    <t>SAKIT</t>
  </si>
  <si>
    <t>14 &amp; 23 AGUSTUS 2026</t>
  </si>
  <si>
    <t>NURLAELA SITI SALEHA</t>
  </si>
  <si>
    <t xml:space="preserve">SUGIARTI </t>
  </si>
  <si>
    <t>3207246105990001</t>
  </si>
  <si>
    <t>3328096603920001</t>
  </si>
  <si>
    <t xml:space="preserve">CIAMIS </t>
  </si>
  <si>
    <t>TEGAL</t>
  </si>
  <si>
    <t>14/08/1992</t>
  </si>
  <si>
    <t>KANZANAFISA014@GMAIL.COM</t>
  </si>
  <si>
    <t>NURLAELASITISA@GMAIL.COM</t>
  </si>
  <si>
    <t>088225317335</t>
  </si>
  <si>
    <t>081991208793</t>
  </si>
  <si>
    <t>DK.SEMBUNG.RT 07/02 KEC PANGKAH KAB TEGAL</t>
  </si>
  <si>
    <t xml:space="preserve">RAHAYU 1 RT02 RW02 KELURAHAN SUKAHURIP KECAMATAN TAMANSARI KOTA TASIKMALAYA </t>
  </si>
  <si>
    <t>K/2</t>
  </si>
  <si>
    <t>155/55</t>
  </si>
  <si>
    <t>165/51</t>
  </si>
  <si>
    <t>SMK</t>
  </si>
  <si>
    <t>3328096604920001</t>
  </si>
  <si>
    <t>0</t>
  </si>
  <si>
    <t>3278071507220003</t>
  </si>
  <si>
    <t>TOIPAH</t>
  </si>
  <si>
    <t>AISYAH</t>
  </si>
  <si>
    <t xml:space="preserve">SPG EVENT </t>
  </si>
  <si>
    <t>KAIRO</t>
  </si>
  <si>
    <t xml:space="preserve">PT. ARTA BOGA CEMERLANG 
</t>
  </si>
  <si>
    <t>JUSAMI</t>
  </si>
  <si>
    <t>3621038841</t>
  </si>
  <si>
    <t>SLAWI</t>
  </si>
  <si>
    <t>942135856442000</t>
  </si>
  <si>
    <t xml:space="preserve">RAHAYU 1 RT 02 RW 02 KELURAHAN SUKHAURIP KECAMATAN TAMANSARI </t>
  </si>
  <si>
    <t xml:space="preserve">KOTA TASIKMALAYA </t>
  </si>
  <si>
    <t>https://drive.google.com/open?id=1hdUKsfYev0nB0RlcMLiIZ2cdlKFTpxsU</t>
  </si>
  <si>
    <t>https://drive.google.com/open?id=1_40k8DtDGV_JmYFJptJfQJCikH0_VU_h</t>
  </si>
  <si>
    <t>https://drive.google.com/open?id=1DYidju4F7y6RyxKxCn9u_sGfrC41enkS</t>
  </si>
  <si>
    <t>https://drive.google.com/open?id=18jYqVuWgyRmzbR_GLXCpVMsKAnXgD4jz</t>
  </si>
  <si>
    <t>INDI RAHMAWATI</t>
  </si>
  <si>
    <t>https://drive.google.com/open?id=1R836ns3efQL7MrDvwTJNW1FevlE3oV38</t>
  </si>
  <si>
    <t>https://drive.google.com/open?id=1hGMbdeVhcCIurE_QSbzJk6FLLG6T6lHg</t>
  </si>
  <si>
    <t>3278095701060003</t>
  </si>
  <si>
    <t>https://drive.google.com/open?id=1T8vJXLsXxKxOUoRbvQslJqs1Vs99bElv</t>
  </si>
  <si>
    <t>https://drive.google.com/open?id=1VPb8z-55KAdNTpndzHJ0gIg5tIa-JWTw</t>
  </si>
  <si>
    <t>https://drive.google.com/open?id=1Oh8ovgt6zQEMVk_N4tzwvOXmMzfgJvaF</t>
  </si>
  <si>
    <t>https://drive.google.com/open?id=1Sk9Xfb-9i1vmVLUysiptoH_OJFfSvq8r</t>
  </si>
  <si>
    <t>https://drive.google.com/open?id=18iDLxBPT_pJjgOgzrLIkHG4LfG4GqdE-</t>
  </si>
  <si>
    <t>https://drive.google.com/open?id=1QAUkoRQiwfl1_CSamYL1T563Nh9VPV9O</t>
  </si>
  <si>
    <t>https://drive.google.com/open?id=195weYtFbp732a7GKZrWSPf_ca_JnSOEx</t>
  </si>
  <si>
    <t>RAHMAWATIINDI427@GMAIL.COM</t>
  </si>
  <si>
    <t>KABUPATEN TEGAL</t>
  </si>
  <si>
    <t>087848992820</t>
  </si>
  <si>
    <t>FHARADILLA APRIZIAH WARDANI</t>
  </si>
  <si>
    <t>SINDANGSARI</t>
  </si>
  <si>
    <t>3328114804020007</t>
  </si>
  <si>
    <t>165/67</t>
  </si>
  <si>
    <t>ASIA TOSERBA CIHIDENG</t>
  </si>
  <si>
    <t>21, 22 &amp; 23 AGUSTUS 2026</t>
  </si>
  <si>
    <t>ELSA TIAS NURPADILAH</t>
  </si>
  <si>
    <t>3278090801120053</t>
  </si>
  <si>
    <t>3205067101050002</t>
  </si>
  <si>
    <t>NURUL PARIDAH</t>
  </si>
  <si>
    <t>GARUT</t>
  </si>
  <si>
    <t>KASIR</t>
  </si>
  <si>
    <t>SUPRIYATI</t>
  </si>
  <si>
    <t>3302274312890002</t>
  </si>
  <si>
    <t>MANDIRI</t>
  </si>
  <si>
    <t>UPHI389@GMAIL.COM</t>
  </si>
  <si>
    <t>Elsatiasnurpadilah@gmail.com</t>
  </si>
  <si>
    <t>085 726 073 123</t>
  </si>
  <si>
    <t>KP NGOMPOD,RT/RW 02/02 DESA PAMEKARSARI,KEC BANYURESMI,KAB GARUT.</t>
  </si>
  <si>
    <t>TK/0</t>
  </si>
  <si>
    <t>170/70</t>
  </si>
  <si>
    <t>158/65</t>
  </si>
  <si>
    <t>SMA/SMK/PAKET C</t>
  </si>
  <si>
    <t>3205061911070667</t>
  </si>
  <si>
    <t>1414-8912-000382</t>
  </si>
  <si>
    <t>TEULIS SURYANI</t>
  </si>
  <si>
    <t>3302272012210003</t>
  </si>
  <si>
    <t>RAISAH</t>
  </si>
  <si>
    <t>1. PT ZENSEI INDONESIA SUPERVISOR 2022 - 2023
2. PT HISAMITSU PHARMA INDONESIA TL EVENT SALONPAS 2023
3. PT MAYORA INDAH PERMITER EVENT STS CHAMPION 2024
4. PT YUPI INDO JELLY GUM TL EVENT STS 2025</t>
  </si>
  <si>
    <t>KP NGOMPOD RT/RW 02/02,DESA PAMEKARSARI KECAMATAN BANYURESMI KAB GARUT</t>
  </si>
  <si>
    <t>0463185074</t>
  </si>
  <si>
    <t>CANCEL JOIN</t>
  </si>
  <si>
    <t>KAB GARUT</t>
  </si>
  <si>
    <t>NITA ARDIANTI</t>
  </si>
  <si>
    <t>IBU</t>
  </si>
  <si>
    <t>https://drive.google.com/open?id=1ER3_GF2iGCc3SQ9dcHF_7uOzRNi_fufY</t>
  </si>
  <si>
    <t>https://drive.google.com/open?id=1LzS8qEAce9HhmOp4Lr4GeJazzAx5H8xa</t>
  </si>
  <si>
    <t>https://drive.google.com/open?id=1VCJBbI5ZKn_-LNeSeCR1IDddI1WYT4bg</t>
  </si>
  <si>
    <t>https://drive.google.com/open?id=15qJUAThYWZ9iY0faWx6LaN9w17iFJiJW</t>
  </si>
  <si>
    <t>https://drive.google.com/open?id=1MYX5aruLwqDPipcOVpeyu5WTrwHxoRVZ</t>
  </si>
  <si>
    <t>https://drive.google.com/open?id=1ZsfFDI1-K4WrblIc1rTaZj2RF5V-TRm2</t>
  </si>
  <si>
    <t>https://drive.google.com/open?id=1Pzx2kZ8o8P2HyZ7E4RHugObRUgwIJEn8</t>
  </si>
  <si>
    <t>https://drive.google.com/open?id=1UMEgpObQxCqVSpQFi5_WVXi3V8tsef40</t>
  </si>
  <si>
    <t>M ZAMZAM TK (M2)</t>
  </si>
  <si>
    <t>https://drive.google.com/open?id=1EK1TXPG0yKUPsGWoxduXpfCOEUNqU8-4</t>
  </si>
  <si>
    <t>https://drive.google.com/open?id=1Ba00XdxsvGsL6VUgbEKDArL9ilCf8Ixj</t>
  </si>
  <si>
    <t>https://drive.google.com/open?id=1cqkb51rQ7aCYmbyzOkKNrCYBT3LMoq1w</t>
  </si>
  <si>
    <t>https://drive.google.com/open?id=1lEaFiU_5H4CSlYDFHXP9PSoD6kKZFPpm</t>
  </si>
  <si>
    <t>https://drive.google.com/open?id=1iUxzunoAmLR40sujwlYcpGqOXdk_mkz4</t>
  </si>
  <si>
    <t>https://drive.google.com/open?id=1bvlwecKWv-J-7qHycbbYaisY_mKC_W2f</t>
  </si>
  <si>
    <t>3278034212930013</t>
  </si>
  <si>
    <t>JAKARTA</t>
  </si>
  <si>
    <t>2-Des-1993</t>
  </si>
  <si>
    <t>GITADESIANTINUGRAHA@GMAIL.COM</t>
  </si>
  <si>
    <t>ELGA NUR ROHMAN</t>
  </si>
  <si>
    <t>085179711749</t>
  </si>
  <si>
    <t>KP.SODONG RT04 RW03 DS.CIKADU KEC.CIKALONG KAB.TASIKMALAYA</t>
  </si>
  <si>
    <t>3205055606940002</t>
  </si>
  <si>
    <t>160/50</t>
  </si>
  <si>
    <t>ELGANR24@GMAIL.COM</t>
  </si>
  <si>
    <t>3206032106170005</t>
  </si>
  <si>
    <t>085654707710</t>
  </si>
  <si>
    <t xml:space="preserve">KP. BBK SUKAPADANG NO 313 RT.03/05 , KEL. SUKAKARYA, KEC. TAROGONG KIDUL, KAB. GARUT </t>
  </si>
  <si>
    <t>SPG EVENT MAYORA,SPG EVENT DUA KELINCI,SPG EVENT PT.ENESIS,SPG EVENT PT.WINGS,SPG EVENT PT.SINAR SOSRO,SPG EVENT PT.SIDOMUNCUL, DLL</t>
  </si>
  <si>
    <t>155/47</t>
  </si>
  <si>
    <t>125363537484648</t>
  </si>
  <si>
    <t>3205050704160036</t>
  </si>
  <si>
    <t xml:space="preserve">ANDRIYANI </t>
  </si>
  <si>
    <t xml:space="preserve">EVENT FOOD / NON FOOD </t>
  </si>
  <si>
    <t>https://drive.google.com/open?id=1iBMYvt6omq8DLPYk5DopJ6Al7HSXVY91</t>
  </si>
  <si>
    <t>JLN LENGKONG BARAT RT04 RW01 KEL.LENGKONGSARI KEC.TAWANG KOTA.TASIKMALAYA</t>
  </si>
  <si>
    <t>KABUPATEN GARUT</t>
  </si>
  <si>
    <t xml:space="preserve">ELGA NUR ROHMAN </t>
  </si>
  <si>
    <t xml:space="preserve">KP. BBK SUKAPADANG NO 313 , RT 03/RW.05 , KEL. SUKAKARYA KEC TAROGONG KIDUL KAB GARUT </t>
  </si>
  <si>
    <t>https://drive.google.com/open?id=1OsI8_ItdW9kJLxaU0anDZxCpgJz6kOWO</t>
  </si>
  <si>
    <t>https://drive.google.com/open?id=1-hRiP_fAFOUDOnnfVVDLe8p-fDGBZ7pp</t>
  </si>
  <si>
    <t>https://drive.google.com/open?id=1C5utzOfeIM7LVMdQxiRdWagoM0RtiOy5</t>
  </si>
  <si>
    <t>https://drive.google.com/open?id=1HCBComZmALJ8uloLGgyDgqn544hTwrWQ</t>
  </si>
  <si>
    <t>https://drive.google.com/open?id=1sZVeDABy-vcgdvANmyaRn1V50cCydV4J</t>
  </si>
  <si>
    <t>https://drive.google.com/open?id=1oQuwCih7NS6GgqvTg5osFDIrnGvoY4Lz</t>
  </si>
  <si>
    <t>https://drive.google.com/open?id=1vAaNoCzqFEmxUAqoK-Ni_vIDfGD9kxpp</t>
  </si>
  <si>
    <t>https://drive.google.com/open?id=1kzN1BvYankOs6SWkhu2oH84nBPre8s-T</t>
  </si>
  <si>
    <t>https://drive.google.com/open?id=1xocXGchqgZ3VN8HPAiC530Q_UXQLvlj9</t>
  </si>
  <si>
    <t>https://drive.google.com/open?id=1CJj1PRg5Oyqiet-_4BC5eGoD-THS4f-R</t>
  </si>
  <si>
    <t>https://drive.google.com/open?id=1N9SL7Nl8v21a_2f_usrGUb-MCPt0e59k</t>
  </si>
  <si>
    <t>https://drive.google.com/open?id=1LK3KQfOUv420wvUVlVQEFWDpTa4uhBEn</t>
  </si>
  <si>
    <t>https://drive.google.com/open?id=1Rhu4A1_Fe7ZIFl3pyH9KqjeAxirHvXyi</t>
  </si>
  <si>
    <t>PRATAMA PUTRA CIHUNI</t>
  </si>
  <si>
    <t>NISYANA NOVIANTI</t>
  </si>
  <si>
    <t>https://drive.google.com/open?id=1H8zSGHjajrNJ31E0kQGnvnLdV0TyWydD</t>
  </si>
  <si>
    <t>3204376411920002</t>
  </si>
  <si>
    <t>ADELIA MEILYNA PUTRI</t>
  </si>
  <si>
    <t>BANDUNG</t>
  </si>
  <si>
    <t>3315134905040005</t>
  </si>
  <si>
    <t xml:space="preserve">GROBOGAN </t>
  </si>
  <si>
    <t>NISYANANOVIANTI12@GMAIL.COM</t>
  </si>
  <si>
    <t>AMARYOGA74@GMAIL.COM</t>
  </si>
  <si>
    <t>0895-2844-8586</t>
  </si>
  <si>
    <t>0895351651709</t>
  </si>
  <si>
    <t>JL. TAMAN ASRI 8 BLOK B6 NO 7 RT. 003/014 KEL. SUBANG JAYA KEC. CIKOLE. KOTA SUKABUMI</t>
  </si>
  <si>
    <t>DS.NGEMBAK,DSN.NUNGGALAN RT 07/RW 04,KEC.PURWODADI,KAB.GROBOGAN</t>
  </si>
  <si>
    <t>156/45</t>
  </si>
  <si>
    <t>163/56</t>
  </si>
  <si>
    <t>14350405000287</t>
  </si>
  <si>
    <t>3315132107070881</t>
  </si>
  <si>
    <t>3173012510180045</t>
  </si>
  <si>
    <t>RUKINI</t>
  </si>
  <si>
    <t>DIANI FARIDA</t>
  </si>
  <si>
    <t>PRAMUNIAGA,SPG NUTRITION</t>
  </si>
  <si>
    <t>KABUPATEN REMBANG</t>
  </si>
  <si>
    <t>SPG ENERGEN &amp; CHAMPION
SPG LE MINERAL
SPG FESTIVE MAYORA
SPG BIMOLI
SPG NU GREEN TEA
SPG MIE YOMP
SPG SIMAS PALMIA
SPG MAMA LEMON
SPG INDOFOOD
SPG DUA KELINCI
SPG HYDROCOCO
SPG CIMORY YOGURT
SPG BENFARM NUGGET</t>
  </si>
  <si>
    <t>398257808514000</t>
  </si>
  <si>
    <t xml:space="preserve">ADELIA MEILYNA PUTRI </t>
  </si>
  <si>
    <t>KABUPATEN SUKABUMI</t>
  </si>
  <si>
    <t>DS.NGEMBAK,DSN.NUNGGALAN 07/04.</t>
  </si>
  <si>
    <t xml:space="preserve">PURWODADI </t>
  </si>
  <si>
    <t>JL. TAMAN ASRI 8 BLOK B6 NO 7 RT. 003/014 KEC. CIKOLE KEL. SUBANG JAYA. KOTA SUKABUMI</t>
  </si>
  <si>
    <t>KOTA SUKABUMI</t>
  </si>
  <si>
    <t>https://drive.google.com/open?id=1ai1Heoad_s8kcLUY5W_QjG80dxaTK3Ls</t>
  </si>
  <si>
    <t>https://drive.google.com/open?id=1ZtPLGf1hDolqFKIw_dvftY3JrsEaeNWc</t>
  </si>
  <si>
    <t>https://drive.google.com/open?id=1qhQQtZopRjVvkc7uzuWKg1KvYi4doeXh</t>
  </si>
  <si>
    <t>https://drive.google.com/open?id=1Jn7TY038Vd_TqIFkAFWXENwNi-l8l4Q9</t>
  </si>
  <si>
    <t>https://drive.google.com/open?id=1eEMu_FJKLOzIE6E0mAj-IQa2nTu82_Y6</t>
  </si>
  <si>
    <t>https://drive.google.com/open?id=1jS1DSfrYWJ8atvBUNbx9yz_9XwuEGN1e</t>
  </si>
  <si>
    <t>WIWI NIRMAWATI</t>
  </si>
  <si>
    <t>https://drive.google.com/open?id=1pcNWlErFQDNuGWvyEFlpL2n35czKIlrE</t>
  </si>
  <si>
    <t>https://drive.google.com/open?id=1Pcl3y-s6fHRNtITI86yA3drLKvHHpn4k</t>
  </si>
  <si>
    <t>LUWES PURWODADI</t>
  </si>
  <si>
    <t>https://drive.google.com/open?id=1vnrH8Pmv39e-wrS_tu8gfslX5LhmHiaL</t>
  </si>
  <si>
    <t>https://drive.google.com/open?id=1atAkp4cF7XYEGI8-DH5YmO6_exRRhpNy</t>
  </si>
  <si>
    <t>https://drive.google.com/open?id=1b-qbMr6gyAnDdmKtiPIRyWmwMOpcp0De</t>
  </si>
  <si>
    <t>https://drive.google.com/open?id=1kukT0rEOvKSR92RXqgsg81_larGE9Dz1</t>
  </si>
  <si>
    <t>https://drive.google.com/open?id=14R-0cTVVPWCBsrsxgqlj0qtRxtDAT7au</t>
  </si>
  <si>
    <t>https://drive.google.com/open?id=1DMX4bxjJ1vFl5VHpSoe0c3HsemQ--NNU</t>
  </si>
  <si>
    <t>MULTI GROSIR STASIUN</t>
  </si>
  <si>
    <t>NADIA SILVIANA DEWI</t>
  </si>
  <si>
    <t>3315165405980004</t>
  </si>
  <si>
    <t>GROBOGAN</t>
  </si>
  <si>
    <t>NADIASILVIANAD@GMAIL.COM</t>
  </si>
  <si>
    <t xml:space="preserve">ANISA RUHAMA ASYIDA </t>
  </si>
  <si>
    <t>089668278200</t>
  </si>
  <si>
    <t>3273026906010013</t>
  </si>
  <si>
    <t>ANGGASWANGI RT02 RW01</t>
  </si>
  <si>
    <t xml:space="preserve">BANDUNG </t>
  </si>
  <si>
    <t>160/51</t>
  </si>
  <si>
    <t>ANISARSD28@GMAIL.COM</t>
  </si>
  <si>
    <t>08886296959</t>
  </si>
  <si>
    <t>980514350451</t>
  </si>
  <si>
    <t>3315162406052809</t>
  </si>
  <si>
    <t>PERUM BUANA CICALENGKA RAYA 2</t>
  </si>
  <si>
    <t>MARKONAH</t>
  </si>
  <si>
    <t>PERNAH KERJA DI MATAHARI DEPT STORE
PERNAH KERJA SI EVENT NESTLÉ GRUB 
PERNAH KERJA DI EVENT MINUMAN SUSU KEDELAI</t>
  </si>
  <si>
    <t>14, 15 &amp; 16 AGUSTUS 2026</t>
  </si>
  <si>
    <t>161/60</t>
  </si>
  <si>
    <t>INDAH HAMIDAH MUTHMAINAH</t>
  </si>
  <si>
    <t>3205014505050002</t>
  </si>
  <si>
    <t>5-Agu-2005</t>
  </si>
  <si>
    <t>0811183911</t>
  </si>
  <si>
    <t>3204252007220004</t>
  </si>
  <si>
    <t>indahhaem@gmail.com</t>
  </si>
  <si>
    <t xml:space="preserve">TATI MULYATI </t>
  </si>
  <si>
    <t>JLN CANDRA MERTA1.RT02</t>
  </si>
  <si>
    <t>DS ANGGASWANGI RT02 RW01</t>
  </si>
  <si>
    <t>SPG REGULER PT KINO</t>
  </si>
  <si>
    <t>PURWODADI</t>
  </si>
  <si>
    <t>156/62</t>
  </si>
  <si>
    <t>https://drive.google.com/open?id=1Zd_SANEOd7jzlwnDZDdJgX0Po9VYprlv</t>
  </si>
  <si>
    <t>IMAS YULIA</t>
  </si>
  <si>
    <t>https://drive.google.com/open?id=1MhqiLIfO3HM6e8lUHiGQT34YzefrErX8</t>
  </si>
  <si>
    <t>RAMAYANA MALL GARUT</t>
  </si>
  <si>
    <t>https://drive.google.com/open?id=14yOxQglXhsKM2-N7ohZDW2tb_jgr29wO</t>
  </si>
  <si>
    <t>https://drive.google.com/open?id=1ecMxkq-Eq7zurmEtjqbLEUg79cLQ9nN8</t>
  </si>
  <si>
    <t>https://drive.google.com/open?id=1BCf4SwuEOyP6JmL9l0Dgj3I3x3p7cf8W</t>
  </si>
  <si>
    <t>https://drive.google.com/open?id=1ba4gOWBQlIsSdfNGZdRn3SvarzoaxmJj</t>
  </si>
  <si>
    <t>SEABANK</t>
  </si>
  <si>
    <t>https://drive.google.com/open?id=1EXiJWA_Oh8seCWlWO6EZAvieorJjLKHV</t>
  </si>
  <si>
    <t>BUANA CICALENGKA RAYA 2</t>
  </si>
  <si>
    <t xml:space="preserve">KAB BANDUNG </t>
  </si>
  <si>
    <t>JLN CANDRA MERTA 1 RT02 RW05.KELURAHAN KOTA WETAN,KECAMATAN GARUT KOTA,KOTA GARUT,GARUT</t>
  </si>
  <si>
    <t>KABUPATEN GARUT KOTA</t>
  </si>
  <si>
    <t>JUJUN JUNAEDI</t>
  </si>
  <si>
    <t>AYAH</t>
  </si>
  <si>
    <t>MEISYA AYU ANDREANI</t>
  </si>
  <si>
    <t>AINUN NAJIKHA</t>
  </si>
  <si>
    <t>3328154502970004</t>
  </si>
  <si>
    <t>https://drive.google.com/open?id=1xMsU2lGqdCCORzOuCtfpdA23Vnikdqnx</t>
  </si>
  <si>
    <t>https://drive.google.com/open?id=19uHhkuQ5UsBoGJiFZGuSKp8IYJIdTI1k</t>
  </si>
  <si>
    <t>AINUNNAJIKHA072@GMAIL.COM</t>
  </si>
  <si>
    <t>088210602285</t>
  </si>
  <si>
    <t>DS KETILENG KECAMATAN KRAMAT KABUPATEN TEGAL</t>
  </si>
  <si>
    <t>157/57</t>
  </si>
  <si>
    <t>3328151806190006</t>
  </si>
  <si>
    <t>SUMITRI</t>
  </si>
  <si>
    <t>PT. KINO INDONESIA (SPG EVENT JSM) BASA BANJARAN
PT. INDOFOOD (SPG PROMINA JSM) YOGYA TEGAL
PT HEAVENLY BLUSH (SPG EVENT JSM ) YOGYA TEGAL
PT NESTLE (SPG EVENT JSM) MUTIARA CAHAYA MEJASEM
PT NABATI INDONESIA (SPG EVENT JSM) MUTIARA CAHAYA MEJASEM)</t>
  </si>
  <si>
    <t>DS. KETILENG RT4 RW 1 KECAMATAN KRAMAT KABUPATEN TEGAL</t>
  </si>
  <si>
    <t>https://drive.google.com/open?id=1MpDktmR-L1o1-k5MmGVq8S7dAMtYcHgP</t>
  </si>
  <si>
    <t>https://drive.google.com/open?id=1f-EgMDcYWzgRnwKU4IlrCPfBJM4fNCbu</t>
  </si>
  <si>
    <t>https://drive.google.com/open?id=1cYJJq-UcMa7JmtL7bIIsSLHgg1iCc87b</t>
  </si>
  <si>
    <t>https://drive.google.com/open?id=1gz4R68QxXyFunrPeRrj9OAF9ic2HHlq9</t>
  </si>
  <si>
    <t>https://drive.google.com/open?id=1dx6MUwurome6NVMQmw-8IuA8QQblgFlE</t>
  </si>
  <si>
    <t>https://drive.google.com/open?id=1hbou0gbc76S4hBKl0eXY65VKbkISQE9i</t>
  </si>
  <si>
    <t>https://drive.google.com/open?id=1SX3wxXzGLMSAxc0igGLvAJQ1TsYCeFgr</t>
  </si>
  <si>
    <t>YOGYA TEGAL</t>
  </si>
  <si>
    <t>SUCITRAMADHANI MUKTHI</t>
  </si>
  <si>
    <t>6472055710060006</t>
  </si>
  <si>
    <t>SAMARINDA</t>
  </si>
  <si>
    <t>SUCITRAMADHANI04@GMAIL.COM</t>
  </si>
  <si>
    <t>https://drive.google.com/open?id=1GLn4bLcKOXkPXhmuu4DJeTMbTczh7r4m</t>
  </si>
  <si>
    <t>081350816490</t>
  </si>
  <si>
    <t>https://drive.google.com/open?id=1dxUfVNs7ahjQI2TzZ4CdOgTliq2T1sCH</t>
  </si>
  <si>
    <t>JL. SEJAHTERA GG.PULAU INDAH I</t>
  </si>
  <si>
    <t>https://drive.google.com/open?id=1Vs5izZztGYJsE3IMOcF_V3utq37Rt6Ky</t>
  </si>
  <si>
    <t>https://drive.google.com/open?id=1tAAufVjSBbwXkJPWqQRE3-jcnwwG6FMF</t>
  </si>
  <si>
    <t>158/47</t>
  </si>
  <si>
    <t>https://drive.google.com/open?id=1Z_8toa_e9Lzg67U7AWsKA9KntuA_fbiD</t>
  </si>
  <si>
    <t>KAIRO MAJALAYA</t>
  </si>
  <si>
    <t>6472052411072354</t>
  </si>
  <si>
    <t>THANTI</t>
  </si>
  <si>
    <t>PT. RAMAYANA LESTARI SENTOSA
KASIR (23 MARET 2023 - 21 APRIL 2023) DAN (12 MARET 2024 - 12 APRIL 2024)
• MENJADI KASIR
• KEMBALIKAN MODAL
•SETOR UANG
•MENCATAT UANG DI KERTAS SLIP
•INPUT UANG
PT. ILUFA JAYA SAMARINDA
PRAMUNIAGA (2 NOVEMBER 2024 - 10 APRIL 2025)
•MENYAPU AREA
• RESTOCK BARANG
•TAGPIN BARANG
• MENYATAT BD
• MUTASIAN
•TARO BARCODE DI BARANG GUDANG
•MELIPAT
•MEMBUKA TAGPIN
•MENYUSUN BARANG SESUAI BARCODE
PT. MAYORA AGENSI BISTEM
EVENT (19 DESEMBER 2025 - 1 FEBRUARI 2026)
BERKERJA SEBEGAI SPG EVENT WOW SPAGETTI DENGAN MENJALAN KAN SELLING DAN SAMPLING MEMPUNYAI TARGET 200 RIBU PER HARI</t>
  </si>
  <si>
    <t>KALIMANTAN TIMUR</t>
  </si>
  <si>
    <t>PERAWATI</t>
  </si>
  <si>
    <t>KOTA SAMARINDA</t>
  </si>
  <si>
    <t>3208326206920001</t>
  </si>
  <si>
    <t>KUNINGAN</t>
  </si>
  <si>
    <t>BRI</t>
  </si>
  <si>
    <t>PWATI8462@GMAIL.COM</t>
  </si>
  <si>
    <t>085189116724</t>
  </si>
  <si>
    <t>DESA KOREAK RT 02/01 DUSUN 1 KEC. CIGANDAMEKAR KAB. KUNINGAN</t>
  </si>
  <si>
    <t>https://drive.google.com/open?id=1A2ckIOJ0JDucbGJTqKTUEH66jNoh6Gj_</t>
  </si>
  <si>
    <t>https://drive.google.com/open?id=10Yi6sKzhAj7tYTZzqsTX52hztgO3QU-i</t>
  </si>
  <si>
    <t>3208322301250002</t>
  </si>
  <si>
    <t>https://drive.google.com/open?id=1bD3LwMQcQ7LlYSQNzZvySf6OpRVRvV7j</t>
  </si>
  <si>
    <t>ENING TRESNANINGSIH</t>
  </si>
  <si>
    <t>https://drive.google.com/open?id=1VZ_DIEVgTeVT6MeVlXz3Zn7pmERuHNEn</t>
  </si>
  <si>
    <t>SPG EVENT SWEETY , SPG EVENT TORABIKA CREAMY LATTE</t>
  </si>
  <si>
    <t>https://drive.google.com/open?id=19Z3KLM1dUJaudyBVPYBnB-RVCv8s0UDy</t>
  </si>
  <si>
    <t>https://drive.google.com/open?id=1NaPSw4UfH95xFwjOww-wv6TJsTAIsoWV</t>
  </si>
  <si>
    <t>KABUPATEN KUNINGAN</t>
  </si>
  <si>
    <t>https://drive.google.com/open?id=1vRZQBMHBJoFvNkiuOTAqCzcRS21R_Dps</t>
  </si>
  <si>
    <t>https://drive.google.com/open?id=1w67qyYF6lrGXgJZNyHNAEcZAI0-1ajbh</t>
  </si>
  <si>
    <t>PLANET SWALAYAN.MM</t>
  </si>
  <si>
    <t>INDRIANING PUJI ASTUTI</t>
  </si>
  <si>
    <t>MIA MEILANI</t>
  </si>
  <si>
    <t>https://drive.google.com/open?id=1Cb4PGOzvjeKs1Kp1af_VLx6pNCBKzSn5</t>
  </si>
  <si>
    <t>GADIS</t>
  </si>
  <si>
    <t>https://drive.google.com/open?id=1-IhK8Adbt65xKIQxdr7Qklho_XMOD3I0</t>
  </si>
  <si>
    <t>6472054402080002</t>
  </si>
  <si>
    <t>https://drive.google.com/open?id=1ZXIpcus7t5N_sbpQ_QxSRwBWRJ14pmMS</t>
  </si>
  <si>
    <t>https://drive.google.com/open?id=1Eg5nlyjuxIPq41a3b-3aIlgOep_ARPeo</t>
  </si>
  <si>
    <t>https://drive.google.com/open?id=1RnYdVzqgB9bHbcyengCeuaezf3EOT-yg</t>
  </si>
  <si>
    <t>GADIS04FEBRUARI@GMAIL.COM</t>
  </si>
  <si>
    <t>https://drive.google.com/open?id=1aoAMu829AObXEfU8UaM-SspNk1_M4jeE</t>
  </si>
  <si>
    <t>082256661710</t>
  </si>
  <si>
    <t>FAJAR JALAKSANA</t>
  </si>
  <si>
    <t>https://drive.google.com/open?id=1-MvpV-NENVHeWsvCuskQzJvdIbj53Zi8</t>
  </si>
  <si>
    <t>JALAN NUSANTARA 2 NO 7</t>
  </si>
  <si>
    <t>160/49</t>
  </si>
  <si>
    <t>6472052711077318</t>
  </si>
  <si>
    <t>AMINAH</t>
  </si>
  <si>
    <t>MUTHYA NADHIFAH</t>
  </si>
  <si>
    <t>3202294302050002</t>
  </si>
  <si>
    <t>SUKABUMI</t>
  </si>
  <si>
    <t>• *UD MAHKOTA SEPATU* TOKO SENDAL,TAS, SEPATU, DAN AKSESORIS TERNAMA, SBGAI SPG PERBANTUAN BULAN PUASA
• *PT RAMAYANA LESTARI SENTOSA TBK* SBG PROMOTOR/ADMIN SOSMED DAN REKRUTMENT MEMBER CARD ID
• *PT MAYORA INDAH TBK* SBG SPG EVENT BRAND WOW SPAGETI, KONTRAK -+ 4 BULAN KEGIATAN SELLING &amp; SAMPLING, TARGET)
• ?*PT 3M INDONESIA* SPG EVENT WEKEND, EDISI BTS 
(KEGIATAN SELLING, TARGET)
• *PT CUSTOMPEDIA EVENT* ACTIVATION SEKOLAH PERIODE JSM (KEGIATAN SELLING , TARGET)</t>
  </si>
  <si>
    <t>MUTHYANADHIFAH6@GMAIL.COM</t>
  </si>
  <si>
    <t>089687152600</t>
  </si>
  <si>
    <t>BNI</t>
  </si>
  <si>
    <t>KP SELAJAMBE RT12/RW05 DESA SELAJAMBE KECAMATAN CISAAT KABUPATEN SUKABUMI</t>
  </si>
  <si>
    <t>JALAN NUSANTARA 2 NO 07</t>
  </si>
  <si>
    <t>150/40</t>
  </si>
  <si>
    <t>3202291008073445</t>
  </si>
  <si>
    <t>YUYUN YUNINGSIH</t>
  </si>
  <si>
    <t>SPG EVENT</t>
  </si>
  <si>
    <t>https://drive.google.com/open?id=1b-j4qPjR0_ItfWYD7HLHJfB1THKsKYfg</t>
  </si>
  <si>
    <t>https://drive.google.com/open?id=1q4lHkEElJZX97YGdUfmGq1rfUgV_BNJP</t>
  </si>
  <si>
    <t>https://drive.google.com/open?id=15yq-_Lz_HVvpP08IgtBsW5eZWHgqLPp0</t>
  </si>
  <si>
    <t>https://drive.google.com/open?id=1rJxpJxlOAG8-jHkPO3ZEdce_YEpnTGe3</t>
  </si>
  <si>
    <t>https://drive.google.com/open?id=12HOv1kgRWV3n06NmpCHCVl-iCvu9uVrR</t>
  </si>
  <si>
    <t>https://drive.google.com/open?id=1m5GuDNaJfs_k-MWa2ex42X7JyvMCr3z8</t>
  </si>
  <si>
    <t>https://drive.google.com/open?id=10kH9rLu2Nxtj18zRaQIaZTFLlOmA-_fK</t>
  </si>
  <si>
    <t>https://drive.google.com/open?id=1dI3gwUYzPPBIEn4MK5yboVr4WuDrZYOl</t>
  </si>
  <si>
    <t>SALSHABILLA PUTERI HARIANTO</t>
  </si>
  <si>
    <t>6371034103040001</t>
  </si>
  <si>
    <t>BANJARMASIN</t>
  </si>
  <si>
    <t>SALSHAREALME@GMAIL.COM</t>
  </si>
  <si>
    <t>085822504356</t>
  </si>
  <si>
    <t>TOKO OFF</t>
  </si>
  <si>
    <t>JLN.TEMBUS MANTUIL KOMP WENGGA</t>
  </si>
  <si>
    <t>163/62</t>
  </si>
  <si>
    <t>18160403000224</t>
  </si>
  <si>
    <t>6371031601080071</t>
  </si>
  <si>
    <t>ERNY SURYANTI</t>
  </si>
  <si>
    <t>https://drive.google.com/open?id=1c9n-QDXFfSVxUQdQUyqT2J6C8bxTs-xF</t>
  </si>
  <si>
    <t>PERNAH BEKERJA SEBAGAI SPG EVENT WOW SPAGETI</t>
  </si>
  <si>
    <t>KALIMANTAN SELATAN</t>
  </si>
  <si>
    <t>https://drive.google.com/open?id=1XpHvhoYUzxYQm-LKFfsBgM4YRQGDYPf2</t>
  </si>
  <si>
    <t>KOTA BANJARMASIN</t>
  </si>
  <si>
    <t>https://drive.google.com/open?id=1c3l1AgbxevhZKQ7f8I-vTHxAt0Yj1PhR</t>
  </si>
  <si>
    <t>https://drive.google.com/open?id=10j-yCasP9vQ6Lfjhn-DsMDl3-rQz8WKH</t>
  </si>
  <si>
    <t>https://drive.google.com/open?id=1Ckvq5c-wFTNBff-pGKOeNG_4GVw6RUmp</t>
  </si>
  <si>
    <t>https://drive.google.com/open?id=1pANGE0JT5O_cDuSuA7hZt6La0jwHmfWC</t>
  </si>
  <si>
    <t>SALSHABILLA PUTERI HARIA</t>
  </si>
  <si>
    <t>JLN TEMBUS MANTUIL KOMP WENGGA</t>
  </si>
  <si>
    <t>https://drive.google.com/open?id=1eXB2CbySgV1TbUXp5e1bN6m_ACLK-y2C</t>
  </si>
  <si>
    <t>https://drive.google.com/open?id=1oi9bTcKhOoc72ZUZ5GGFOmJ6nTDMT4I4</t>
  </si>
  <si>
    <t>https://drive.google.com/open?id=1aUCsQ_jzn6yDqww5CZdiAj_nO4IUFMmn</t>
  </si>
  <si>
    <t>3272075004990900</t>
  </si>
  <si>
    <t>https://drive.google.com/open?id=1QPUtQfyuiyOZu5YCab8fzHMJ06AxerEI</t>
  </si>
  <si>
    <t>https://drive.google.com/open?id=1cEpX1xE5-wQFDicxnPXmvlyk50cdo2NO</t>
  </si>
  <si>
    <t>https://drive.google.com/open?id=1VtT8CwK409gJ6rCi4r4_UJWa7GsmzAGz</t>
  </si>
  <si>
    <t>WIWINIRMAWATI99@GMAIL.COM</t>
  </si>
  <si>
    <t>https://drive.google.com/open?id=1enWWJL6YAxDboFNOJ4q1n235XGFEQoEs</t>
  </si>
  <si>
    <t>082298132622</t>
  </si>
  <si>
    <t>https://drive.google.com/open?id=1Hl5-DCVnRhNY6VrxH0tUbaXSJRwvp12x</t>
  </si>
  <si>
    <t>JALAN PEMBANGUNAN RT 003/003</t>
  </si>
  <si>
    <t>#.PINUS MM BANJARBARU</t>
  </si>
  <si>
    <t>159/60</t>
  </si>
  <si>
    <t>3272070308070149</t>
  </si>
  <si>
    <t>ENGKAY SUKARSIH</t>
  </si>
  <si>
    <t>AHDA MARDIYAH</t>
  </si>
  <si>
    <t xml:space="preserve">PT UNICHARM INDONESIA - SPG </t>
  </si>
  <si>
    <t>6402136410010001</t>
  </si>
  <si>
    <t>SAMBOJA</t>
  </si>
  <si>
    <t>AHDABPN@GMAIL.COM</t>
  </si>
  <si>
    <t>081649110941</t>
  </si>
  <si>
    <t xml:space="preserve">WIWI NIRMAWATI </t>
  </si>
  <si>
    <t>JLN. RAWA MANGUN INDAH NO. 138 RT. 10 KEL. LAMARU</t>
  </si>
  <si>
    <t>160/53</t>
  </si>
  <si>
    <t>6471011903240007</t>
  </si>
  <si>
    <t>JUMARIAH</t>
  </si>
  <si>
    <t>KASIR/BAKER, DI PT. SEBASTIAN CITRA INDONESIA 2 TAHUN,BARISTA DI HANYA STEAK 1 TAHUN</t>
  </si>
  <si>
    <t>KOTA BALIKPAPAN</t>
  </si>
  <si>
    <t>https://drive.google.com/open?id=1mb7qDbxX9S6NLNCdJTLwmi6Ln2W_L7do</t>
  </si>
  <si>
    <t>https://drive.google.com/open?id=14WiVbd3BaWp3CaSi_OOvl8fK0Wpjk6qu</t>
  </si>
  <si>
    <t>https://drive.google.com/open?id=1EYRKbde49nanxXpSsbH2Td9_8on8SJ80</t>
  </si>
  <si>
    <t>JLN. RAWA MANGUN INDAH NO. 138 RT 10 KEL. LAMARU</t>
  </si>
  <si>
    <t>https://drive.google.com/open?id=1P-soeVRM8Fd2xFwLZiOyrGBW42SiScFn</t>
  </si>
  <si>
    <t>BALIKPAPAN TIMUR</t>
  </si>
  <si>
    <t>https://drive.google.com/open?id=1DEFuyG6LFgvebCyfOCuI_r71dZB2foMG</t>
  </si>
  <si>
    <t>https://drive.google.com/open?id=1BToXFxKVHm1Y7sZlEcbYl77r1424LpnG</t>
  </si>
  <si>
    <t>https://drive.google.com/open?id=1kDphPaCC4e6rZB4eEviEu3lZcHx_f6Ea</t>
  </si>
  <si>
    <t>28 &amp; 29 AGUSTUS 2026</t>
  </si>
  <si>
    <t>https://drive.google.com/open?id=1yLihGEaIN4VKsbSAgZfjfS2OtYOMttZd</t>
  </si>
  <si>
    <t>M4 GMM WOW SPAGETI JSM NASIONAL</t>
  </si>
  <si>
    <t>https://drive.google.com/open?id=1VSSLlQ-CqAQtT1p01QMMxoKbQlWIw6uP</t>
  </si>
  <si>
    <t>SRI KUSNITA</t>
  </si>
  <si>
    <t>https://drive.google.com/open?id=1K_AixhiTl4DSxlz9w4KdIYT7FJW6whKu</t>
  </si>
  <si>
    <t>3328154107820146</t>
  </si>
  <si>
    <t>NURMALA RUSTAMALIA</t>
  </si>
  <si>
    <t>https://drive.google.com/open?id=1K8AxIWvnXI0ycNOojaz3u3eKqcGaFVRK</t>
  </si>
  <si>
    <t>3208094703950006</t>
  </si>
  <si>
    <t>https://drive.google.com/open?id=12ypSCLIy4GSX22GWznQS89XcDQOXS_2V</t>
  </si>
  <si>
    <t>https://drive.google.com/open?id=1PL30ytUh8hPPRlkqXTK3iPON8js-3t-r</t>
  </si>
  <si>
    <t>NURMALARUSTAMALIA1@GMAIL.COM</t>
  </si>
  <si>
    <t>MAXY REGENCY</t>
  </si>
  <si>
    <t>082262901737</t>
  </si>
  <si>
    <t>LINGK. PUHUN RT. 004 RW. 002 KEL. PURWAWINANGUN KAB. KUNINGAN, JAWA BARAT</t>
  </si>
  <si>
    <t>nita145366@gmail.com</t>
  </si>
  <si>
    <t>KERTAYASA RT 05 RW 01 ,KRAMAT,TEGAL</t>
  </si>
  <si>
    <t>SHEILLA NAVISYA</t>
  </si>
  <si>
    <t>157/60</t>
  </si>
  <si>
    <t>SHEILLANAVISYA9@GMAIL.COM</t>
  </si>
  <si>
    <t>3208092601260007</t>
  </si>
  <si>
    <t>0883845098779</t>
  </si>
  <si>
    <t>AYUNAH</t>
  </si>
  <si>
    <t>JL.CEMARA SEWU KOMPLEK MUSHOLA AT TAUBAH TEMBOK LUWUNG RT 29/ 06 ADIWERNA KAB.TEGAL</t>
  </si>
  <si>
    <t>3328150904130002</t>
  </si>
  <si>
    <t>SPG EVENT BARAKAT</t>
  </si>
  <si>
    <t>DARNINGSIH</t>
  </si>
  <si>
    <t>SPG DRAGON</t>
  </si>
  <si>
    <t>160/45</t>
  </si>
  <si>
    <t>3328112302082426</t>
  </si>
  <si>
    <t>SRIKANTI</t>
  </si>
  <si>
    <t>EVENT HOTTWELS,EVENT SILVERQUEEN,EVENT RACIK , EVENT VIXAL, EVENT BISKUIT KOKOLA,EVENT PROMINA,EVENT MAXIM,EVENT TARO, EVENT FRESLY, EVENT.</t>
  </si>
  <si>
    <t>JLN.PRAMUKA LINGK. PUHUN RT. 004 RW. 002 PURWAWINANGUN</t>
  </si>
  <si>
    <t>0990883467</t>
  </si>
  <si>
    <t>SRIKUSNITA</t>
  </si>
  <si>
    <t>JLN MELATI KERTAYASA RT 05 RW 01 ,KEC KRAMAT KABUPATEN TEGAL</t>
  </si>
  <si>
    <t>TEGAL,JAWA TENGAH</t>
  </si>
  <si>
    <t>NAFTASYA THIFA SAIDIGTA</t>
  </si>
  <si>
    <t>KAKAK</t>
  </si>
  <si>
    <t>https://drive.google.com/open?id=1CyYe9ztsQQPhg4sSixH92h-ca0BFg2Jy</t>
  </si>
  <si>
    <t>https://drive.google.com/open?id=1fF_TDRC886mz-wPVyRGjj2jY4q858t2o</t>
  </si>
  <si>
    <t>https://drive.google.com/open?id=1HonSGj8JdzMtmGQSPNMJjv4mSF1pexOV</t>
  </si>
  <si>
    <t>https://drive.google.com/open?id=1sOqmun5N6nepbYWSmf2PqdQOtRKRG8Ou</t>
  </si>
  <si>
    <t>https://drive.google.com/open?id=1sTOT5G5fRiz5VBqkIGKVIu978OQM6-tW</t>
  </si>
  <si>
    <t>https://drive.google.com/open?id=1isyFHIvPs21Uy4LXa0_lEA0BMIsp52nE</t>
  </si>
  <si>
    <t>https://drive.google.com/open?id=1iXD_BcOFUt8Wo2ZN10GQuptbWvcrSLkv</t>
  </si>
  <si>
    <t>https://drive.google.com/open?id=1PaVlq_guyYKPTPOHAhC7sLv2IDhay7kv</t>
  </si>
  <si>
    <t>https://drive.google.com/open?id=1_LcSKcrVQFKpqOmy9OcCUxzdUm-tk3-N</t>
  </si>
  <si>
    <t>https://drive.google.com/open?id=1XPNTCbUzIFC4UUtG1oKMHN3z0fTpyTJV</t>
  </si>
  <si>
    <t>https://drive.google.com/open?id=1DKhX3anZyp6CvzPyZ_XncauQS91mtFTZ</t>
  </si>
  <si>
    <t>MITRA INDAH</t>
  </si>
  <si>
    <t>https://drive.google.com/open?id=1nDioi7Izbnd8RMMOKQdvkMiwMcWPYcdx</t>
  </si>
  <si>
    <t>https://drive.google.com/open?id=1H5oQUYCB0m2I-dCvikUu-2P9ZSotekS6</t>
  </si>
  <si>
    <t>https://drive.google.com/open?id=1_K5TL_lSIhf89sd581Ebxy3CinH5Vtxo</t>
  </si>
  <si>
    <t>WINDIANINGSIH</t>
  </si>
  <si>
    <t>3208066701010006</t>
  </si>
  <si>
    <t>WINDIANINGSIH406@GMAIL.COM</t>
  </si>
  <si>
    <t>MAIA ANDIEN AGUSTINA</t>
  </si>
  <si>
    <t>081395486932</t>
  </si>
  <si>
    <t>3320114108060003</t>
  </si>
  <si>
    <t>JEPARA</t>
  </si>
  <si>
    <t>DUSUN MANIS 02/01 DESA LURAGUNGLANDEUH KECAMATAN LURAGUNG KABUPATEN KUNINGAN</t>
  </si>
  <si>
    <t>MAIAANDIENA@GMAIL.COM</t>
  </si>
  <si>
    <t>0895446857200</t>
  </si>
  <si>
    <t>155/50</t>
  </si>
  <si>
    <t>TAHUNAN 03/04</t>
  </si>
  <si>
    <t>3208062903210003</t>
  </si>
  <si>
    <t>161/47</t>
  </si>
  <si>
    <t>SARTINI</t>
  </si>
  <si>
    <t>3320112404070011</t>
  </si>
  <si>
    <t>(REGULER) :
•BA YOU
•BA SOMETHINC
(EVENT) :
•SOKLIN
•DAIA
•JOYDAY
•BOGASARI
•HAPPILY
• LE MINERALE
•KODOMO</t>
  </si>
  <si>
    <t>FERAWATI</t>
  </si>
  <si>
    <t>SPG EVENT KOBE, SPG EVENT LEMONILO</t>
  </si>
  <si>
    <t>https://drive.google.com/open?id=1LBfrgq8lJxp94MVBWXsXoC06GKvIzASZ</t>
  </si>
  <si>
    <t>KABUPATEN JEPARA</t>
  </si>
  <si>
    <t>GERJEN SARI 03/04 TAHUNAN JEPARA</t>
  </si>
  <si>
    <t>https://drive.google.com/open?id=15zkXGlMDq-eBPJPxVZfOjLSSjk1-dGqE</t>
  </si>
  <si>
    <t>https://drive.google.com/open?id=1K20RoN2XuN2M8rah5ScJnjqCkFoD0ZJZ</t>
  </si>
  <si>
    <t>https://drive.google.com/open?id=1LAR4jaCZczgSpCxzz9rFg5shCm1j_Gsn</t>
  </si>
  <si>
    <t>https://drive.google.com/open?id=1ChO0VFx0Iw_BEhU1qgHBkSl0I8kKWmHo</t>
  </si>
  <si>
    <t>https://drive.google.com/open?id=15GyDo9PRjvED-yGEN0qocJyfcJW854N8</t>
  </si>
  <si>
    <t>https://drive.google.com/open?id=1vNM7eoC-5Gdxb3TTEMAv1MUW12Q--8ga</t>
  </si>
  <si>
    <t>https://drive.google.com/open?id=1QFTWHhcVbaWpOoOscZG2gbQOQgS_h5Vi</t>
  </si>
  <si>
    <t>https://drive.google.com/open?id=1DKm4yqG3HfzDvF92zso3q9Oz2vUCS4Lj</t>
  </si>
  <si>
    <t>ADI JAYA</t>
  </si>
  <si>
    <t>https://drive.google.com/open?id=1PTezspjQq1qY8FbhgXqRQuiP4j3erPQ8</t>
  </si>
  <si>
    <t>https://drive.google.com/open?id=1jDEqvxZNG1EYZpW47u8U0p9v42XF0LJU</t>
  </si>
  <si>
    <t>https://drive.google.com/open?id=1auetoav_UHdnPFrsydzBbCd-6QgHqKtf</t>
  </si>
  <si>
    <t>https://drive.google.com/open?id=11qJdf4aXpnAMj0clBnzVKDyqeYtQfecZ</t>
  </si>
  <si>
    <t>https://drive.google.com/open?id=1Rh9IfoXAyZooI7VVE-PpC_D5CPZsyXZo</t>
  </si>
  <si>
    <t>FHARADILA04@GMAIL.COM</t>
  </si>
  <si>
    <t>https://drive.google.com/open?id=1hdIpswg9KpptA_4gA_7RW9SZ7qw5N8YL</t>
  </si>
  <si>
    <t>085647715837</t>
  </si>
  <si>
    <t>JLN JATI AGUNG RT 35 RW 07 NO RUMAH 66,KELURAHAN TEMBOK LUWUNG,KECAMATAN ADIWERNA,KABUPATEN TEGAL</t>
  </si>
  <si>
    <t>155/42</t>
  </si>
  <si>
    <t>KANTI</t>
  </si>
  <si>
    <t>ALYA MULIA</t>
  </si>
  <si>
    <t>3205036407050004</t>
  </si>
  <si>
    <t>- SPG EVENT LIFFRE 
- SPG BABY HAPPY
- SPG EVENT HOTWHEELS
- SPG SHINZUI
- SPG ZEN 
- SPG EVENT KOKOLA
- SPG EVENT STELLA
- SPG EVENT WALLS
- SPG EVENT BEARBRAND
- SPG EVENT ESKULIN
- SPG EVENT LASEGAR
- SPG EVENT PRISKILA
- SPG EVENT WALLS
- SPG EVENT CASABLANCA 
- SPG EVENT DOWNY
- SPG EVENT ENERGEN CHAMPION
- SPG EVENT MAXIM
- SPG EVENT SUSU 7 KURMA
- SPG EVENT ABC
- SPG EVENT INDOFOOD
- SPG EVENT POCI
- SPG EVENT PERMEN MILKITA
- SPG EVENT CUSSONS
- SPG EVENT PROMINA
- SPG EVENT SUNPRIDE
- SPG EVENT ROYCO IKAN 
- SPG EVENT SILVERQUEEN
- SPG EVENT KECAP BANGO
- SPG EVENT PERMEN ALPENLIEBE
- SPG EVENT ROCYO AYAM &amp; SAPI
- SPG EVENT SELAMAT &amp; TWISTER</t>
  </si>
  <si>
    <t>ALYAMULIA07@GMAIL.COM</t>
  </si>
  <si>
    <t>0990616558</t>
  </si>
  <si>
    <t>https://drive.google.com/open?id=1i9MKKLIpb4XpDNLvRAgIFzL5V0LzliXL</t>
  </si>
  <si>
    <t>https://drive.google.com/open?id=1PM9IfGGYR68u3Z70mB8nlaHoRrppu9Hh</t>
  </si>
  <si>
    <t>https://drive.google.com/open?id=1JV_VrcuhOHsZZ6FdLP-BJgtiW0khN-75</t>
  </si>
  <si>
    <t>https://drive.google.com/open?id=1i3p3oWxPjqs2R6KnLku6xiA2uMYsSm3g</t>
  </si>
  <si>
    <t>https://drive.google.com/open?id=1DRj3Ph_eYaWQ9MiVoxRNzkAn4wJDkxCD</t>
  </si>
  <si>
    <t>https://drive.google.com/open?id=1QFY5JlHFdAqR85BRsR7uWcETo_GdoEo4</t>
  </si>
  <si>
    <t>https://drive.google.com/open?id=1lakmXd7ppIz-9lFxqaDgsruH7bHXVbE6</t>
  </si>
  <si>
    <t>https://drive.google.com/open?id=1I9RTzgrPEPm-gx0FLCp-sYALa6OprGH8</t>
  </si>
  <si>
    <t>BASA BANJARAN</t>
  </si>
  <si>
    <t>SRI PUJIYATI</t>
  </si>
  <si>
    <t>3308155407920006</t>
  </si>
  <si>
    <t>MAGELANG</t>
  </si>
  <si>
    <t>PUJITATA123@GMAIL.COM</t>
  </si>
  <si>
    <t>081225002972</t>
  </si>
  <si>
    <t>NGLAMPU 004/011 BATEH CANDIMULYO MAGELANG</t>
  </si>
  <si>
    <t>164/56</t>
  </si>
  <si>
    <t>920714540586</t>
  </si>
  <si>
    <t>3308152707160005</t>
  </si>
  <si>
    <t>SARWATI</t>
  </si>
  <si>
    <t>SPG</t>
  </si>
  <si>
    <t>KABUPATEN MAGELANG</t>
  </si>
  <si>
    <t>67373633652400</t>
  </si>
  <si>
    <t>https://drive.google.com/open?id=1KFCbVJzBVMxEeVkB5eRKfPegqmL2Co8X</t>
  </si>
  <si>
    <t>https://drive.google.com/open?id=14339RrvW6MhFf0-h7J2RBQR5975rXnsE</t>
  </si>
  <si>
    <t>https://drive.google.com/open?id=1MLE38ddjAlPH27wZgSLxAKr8FMk8PRhr</t>
  </si>
  <si>
    <t>https://drive.google.com/open?id=1m64Z1Ijr_ZBx348Dln16bQRkAOUGE9So</t>
  </si>
  <si>
    <t>https://drive.google.com/open?id=10QzhNh9ljVwx_f5AnCnWdH3g_PiIoZ8g</t>
  </si>
  <si>
    <t>https://drive.google.com/open?id=1Dhs6bGIfqXaCcY-eVoWz0pb6LjHixXf3</t>
  </si>
  <si>
    <t>https://drive.google.com/open?id=1EiQQIyhzOiMHWtr61VZPuO5vL25HkWFy</t>
  </si>
  <si>
    <t>https://drive.google.com/open?id=1GGWINsjgWdygj2OkoQ-CNA9RC697DpVt</t>
  </si>
  <si>
    <t>KOTAK CANTIK MAGELANG</t>
  </si>
  <si>
    <t>085150794116</t>
  </si>
  <si>
    <t>ALAMAL
: JL SUKAREGANG
RT/RW
004/015
KEL/DESA
KOTA WETAN
KECAMATAN
SARUTKOTA</t>
  </si>
  <si>
    <t>SHOFA DWINA</t>
  </si>
  <si>
    <t>3207035510040002</t>
  </si>
  <si>
    <t>CIAMIS</t>
  </si>
  <si>
    <t>SHOFADWINA@GMAIL.COM</t>
  </si>
  <si>
    <t>123</t>
  </si>
  <si>
    <t>087767423368</t>
  </si>
  <si>
    <t>3205012703190005</t>
  </si>
  <si>
    <t>DESA UTAMA DUSUN BOJONGNANGOH RT17 RW06 KECAMATAN CIJEUNGJING KABUPATEN CIAMIS JAWA BARAT</t>
  </si>
  <si>
    <t>https://drive.google.com/open?id=1k0F5vAIH5fHansVbWJ5ApurUWaCYIDdE</t>
  </si>
  <si>
    <t>MIMIN</t>
  </si>
  <si>
    <t>(158/43)</t>
  </si>
  <si>
    <t>123456789543</t>
  </si>
  <si>
    <t>3207032909070065</t>
  </si>
  <si>
    <t>2022 - 2023 | PRAKTIK KERJA LAPANGAN | PT. TARTICAL GATAC GARMENT
2023 - 2023 | SPG REGULER | PT. FORISA NUSAPERSADA
2023 - 2025 | SPG EVENT REGULER JAJANAN JADOEL | UNICK | PT. AKUR PRATAMA
2025 - 2025 | SPG EVENT BONTEH | PT. SANTOS JAYA ABADI
2025 - 2025 | SPG EVENT APPLE HARVO | PT. MULIA RAYA
2025 - 2025 | SPG EVENT SAYANG | PT. SANTOS JAYA ABADI
2025 - 2025 | SPG EVENT BIMOLI | PT. INDOFOOD
2025 - 2025 | SPG EVENT KAPAL API | PT. SANTOS JAYA ABADI
2025 - 2025 | SPG EVENT JOYDAY | PT. YILI INDONESIA DAIRY
2025 - 2025 | SPG EVENT SOKLIN | PT. WINGS
2025 - 2025 | SPG EVENT ZESPRI | PT. SSN
2025 - 2025 | SPG EVENT HARVO | PT. MULIA RAYA
2025 2026 | SPG EVENT SPAGETI WOW | PT. MAYORA
2026 - 2026 | SPG EVENT BUMBU SEDAP | PT. WINGS
2026 - 2026 | SPG EVENT PROMINA | PT. INDOFOOD
2026 - 2026 | SPG EVENT FOCALLURE &amp; PINKFLASH | FCL</t>
  </si>
  <si>
    <t>HENI NURAENI</t>
  </si>
  <si>
    <t>SPG CREAMY LATTE</t>
  </si>
  <si>
    <t>KABUPATEN CIAMIS</t>
  </si>
  <si>
    <t>99.663.853.2-44300</t>
  </si>
  <si>
    <t>500214812442000</t>
  </si>
  <si>
    <t>DESA SUKARAJA RT08 RW 03 DEKAT DENA AQUA SINDANG KASIH CIAMIS JAWA BARAT</t>
  </si>
  <si>
    <t>JL. GAGAK LUMAYUNG, RT04 RW15, KEC. GARUT KOTA. KEL. KOTA WETAN , GARUT</t>
  </si>
  <si>
    <t>UNDER PERFORM</t>
  </si>
  <si>
    <t>https://drive.google.com/open?id=1wgPShyCWCI1KWqc1nehlwYOuJBVGVHan</t>
  </si>
  <si>
    <t xml:space="preserve">INDI NOSYAL RISWANTO </t>
  </si>
  <si>
    <t>https://drive.google.com/open?id=1NsicJOI_E1XS1AaeYUGEBOao5uDkWbJ5</t>
  </si>
  <si>
    <t>https://drive.google.com/open?id=1OOYicx_JV_6g7Zsa0glaFttwEic3beUO</t>
  </si>
  <si>
    <t>https://drive.google.com/open?id=1WJHvQX33C2m9_dKMPstpurZRJ8v3EIjU</t>
  </si>
  <si>
    <t>https://drive.google.com/open?id=1rVaylpsi-tKsmoaTVQFi4tVk2K_U9tYb</t>
  </si>
  <si>
    <t>https://drive.google.com/open?id=1TMlLQQ0Jtr-rnQDZxc03TrsA2GVuaxb1</t>
  </si>
  <si>
    <t>https://drive.google.com/open?id=18bhxEd70_u7jkn2RprdSkb9eZKMoqT-v</t>
  </si>
  <si>
    <t>https://drive.google.com/open?id=1U590NoBLRTrqbJq39OsTGxj0vLNi5Aoo</t>
  </si>
  <si>
    <t>https://drive.google.com/open?id=1vXZzGxx9Djq0O7E69XgVyxOq_gkWE9AK</t>
  </si>
  <si>
    <t>https://drive.google.com/open?id=1_AMqV-o5Q8h9xZf-1IC58n1gIxWc4EVB</t>
  </si>
  <si>
    <t>https://drive.google.com/open?id=1y1_plmN-Kk0KOPoe0lJrCH17zK63yYYc</t>
  </si>
  <si>
    <t>https://drive.google.com/open?id=1H56ODEtVQLMZ4lgo7OkQjpCq_e_auT8D</t>
  </si>
  <si>
    <t>GUNASALMA 3 PANUMBANGAN</t>
  </si>
  <si>
    <t>https://drive.google.com/open?id=1w9C5_sqXnakyXAziI77p4b7KGNLoV2Ie</t>
  </si>
  <si>
    <t>https://drive.google.com/open?id=16eEh3pjhVM4nr_daGShxZvXPlS5xYh0l</t>
  </si>
  <si>
    <t>SAEPULROHMAN BANYURESMI</t>
  </si>
  <si>
    <t>FELIA INES SAPUTRI</t>
  </si>
  <si>
    <t>3303047004000007</t>
  </si>
  <si>
    <t>PURBALINGGA</t>
  </si>
  <si>
    <t>SAPUTRIFELIAINES@GMAIL.COM</t>
  </si>
  <si>
    <t>085523973952</t>
  </si>
  <si>
    <t>DEVI SRI ANJANI</t>
  </si>
  <si>
    <t>DESA KEMBARAN WETAN RT 001/RW 003, KEC. KALIGONDANG, KAB. PURBALINGGA JAWA TENGAH</t>
  </si>
  <si>
    <t>3205055903080002</t>
  </si>
  <si>
    <t>170/57</t>
  </si>
  <si>
    <t>14240004000570</t>
  </si>
  <si>
    <t>CAND50292@GMAIL.COM</t>
  </si>
  <si>
    <t>3303042507240002</t>
  </si>
  <si>
    <t>085147381520</t>
  </si>
  <si>
    <t>SUMARTI</t>
  </si>
  <si>
    <t>GARUT,JLN BUNGUR</t>
  </si>
  <si>
    <t xml:space="preserve">1. QC DI PT SUNSTARINDO 
2. SPG / SALES FORCE DI PT MBS ( INDOSAT OOREDOO )
3. SPG EVENT MAYORA ( LE MINERALE )
4. SPG PURE ( SABUN, SHAMPO BABY )
5. SPG EVENT UNILEVER ( SUNLIGHT, ROYCO, WALLS )
6. SPG EVENT SOSRO
7. SPG REGULER MAYORA ( BISKUIT )
8. SPG/ SBA  REGULER UNILEVER </t>
  </si>
  <si>
    <t>157/50</t>
  </si>
  <si>
    <t>50154867152900</t>
  </si>
  <si>
    <t>3205053112072842</t>
  </si>
  <si>
    <t>LILIS AISYAH</t>
  </si>
  <si>
    <t>0971319649</t>
  </si>
  <si>
    <t>TOKO MAS BANGKIT PUTRA</t>
  </si>
  <si>
    <t>KEMBARAN WETAN RT 001/RW 03, KEC. KALIGONDANG, KAB.PURBALINGGA JAWA TENGAH</t>
  </si>
  <si>
    <t>PURBALINGGA JAWA TENGAH</t>
  </si>
  <si>
    <t>SELY SRI WULANDARI</t>
  </si>
  <si>
    <t>https://drive.google.com/open?id=1OChfYMschl5geTkc-goVYJyZEvkHjL_H</t>
  </si>
  <si>
    <t>https://drive.google.com/open?id=1qiikOBQ_oU1oxJLD5JFiwSFrNz-Dm5jf</t>
  </si>
  <si>
    <t>3328105005940004</t>
  </si>
  <si>
    <t>https://drive.google.com/open?id=1CYU4PG8z5sF7La3O0Es7R7rvSgsl5YoH</t>
  </si>
  <si>
    <t>https://drive.google.com/open?id=1kGKGRY5iL46TXgbv4u4GvivlAv_jJLNE</t>
  </si>
  <si>
    <t>https://drive.google.com/open?id=1GIkFCAdRNpdR2lD3ZlljEa6L72GfWEia</t>
  </si>
  <si>
    <t>https://drive.google.com/open?id=1FksPl4Nd8Ca395b6mE693g2nurRfWlSl</t>
  </si>
  <si>
    <t>BERHALANGAN HADIR</t>
  </si>
  <si>
    <t>https://drive.google.com/open?id=1nGDE0UPWNCKGaorRNMrnEkxNCGlU_Jvz</t>
  </si>
  <si>
    <t>https://drive.google.com/open?id=1IbFWlMx3szoFwsWIa2HigXLUnwnzLV7t</t>
  </si>
  <si>
    <t>https://drive.google.com/open?id=1UDL9GpC_Rm8EiPnRMc1KnZHc1vI9L2PO</t>
  </si>
  <si>
    <t>EKA DINA NUGRAHA PURBALINGGA</t>
  </si>
  <si>
    <t>https://drive.google.com/open?id=1iUtWDsnilI_1I3uNroow9dmgRvFGKxKE</t>
  </si>
  <si>
    <t>https://drive.google.com/open?id=1-PHd3GBCo1k1TCLqZ86-52_--e1ZNLts</t>
  </si>
  <si>
    <t>https://drive.google.com/open?id=1_HENsH4nWCtaX13La2loPzs788O9yWcS</t>
  </si>
  <si>
    <t>https://drive.google.com/open?id=1lJWVQn4lWOfZIQb3hsWsi-cNCPBDnt8i</t>
  </si>
  <si>
    <t>LIANI ISMIATI</t>
  </si>
  <si>
    <t>3202124708040006</t>
  </si>
  <si>
    <t>CIANJUR</t>
  </si>
  <si>
    <t>LIANIISMIATI457@GMAIL.COM</t>
  </si>
  <si>
    <t>087838060308</t>
  </si>
  <si>
    <t>3205055611060006</t>
  </si>
  <si>
    <t>KP.CIATER RT/RW 004/005,NAGRAK SELATAN.NAGRAK</t>
  </si>
  <si>
    <t>K/4</t>
  </si>
  <si>
    <t>INDINOSYALRISWANTO161106@GMAIL.COM</t>
  </si>
  <si>
    <t>168/50</t>
  </si>
  <si>
    <t>081386713707</t>
  </si>
  <si>
    <t>3203040102190001</t>
  </si>
  <si>
    <t>JLN.MIRAMARE, KP.YAYASAN, RT002/RW014, DESA SAGARA, KEC.CIBALONG, KAB.GARUT, JAWA BARAT, 44176</t>
  </si>
  <si>
    <t>NANI SRIWAHYUNI</t>
  </si>
  <si>
    <t>MARKETING
SPG SEGAR DINGIN 
SPG SPAGETI WOW STS/DTD</t>
  </si>
  <si>
    <t>160/58</t>
  </si>
  <si>
    <t>KABUPATEN CIANJUR</t>
  </si>
  <si>
    <t>3205291211190002</t>
  </si>
  <si>
    <t xml:space="preserve">IRNA DESI FUZIAMI </t>
  </si>
  <si>
    <t>1.SPG PROBABY (JUNI 2025-JANUARI 2026)
2.SPG ENESIS (JANUARI 2026-JUNI2026)
3.TL SPG EVENT LEMONIA (5 JULI 2026)</t>
  </si>
  <si>
    <t>KP.BABAKAN TIPAR RT/RW 001/014</t>
  </si>
  <si>
    <t>https://drive.google.com/open?id=1mDAqxHkuF0WOL6gI5TG-qqfBvlHZJD6w</t>
  </si>
  <si>
    <t>https://drive.google.com/open?id=17PH5agYa2-Unfa2L8v7twRj9QtIHkj0_</t>
  </si>
  <si>
    <t xml:space="preserve">JLN.KP.SISIR, KEC.GARUT KOTA, KAB.GARUT, JAWA BARAT </t>
  </si>
  <si>
    <t>https://drive.google.com/open?id=1yYG88XAOXyixWPIotdcdtYZkhoj5uXmh</t>
  </si>
  <si>
    <t>https://drive.google.com/open?id=1e2qPmDmJ2FUwuFdvR024TYwDx7udw2UI</t>
  </si>
  <si>
    <t>https://drive.google.com/open?id=1HJ3zpoWh5NRJk9mk3GvJSLSNLYovD7Ws</t>
  </si>
  <si>
    <t>https://drive.google.com/open?id=1zwzGoOz2eIjE51JPwzVZAisZO8aH8crJ</t>
  </si>
  <si>
    <t>PINDAH KE REGULER</t>
  </si>
  <si>
    <t>https://drive.google.com/open?id=1L8QkHFbYNlqiuDIPRUrrJj7dFHqDuAp8</t>
  </si>
  <si>
    <t>MG CIANJUR</t>
  </si>
  <si>
    <t>https://drive.google.com/open?id=1XmPot9MewNl8EXM4wALNcTbLnudH1fmV</t>
  </si>
  <si>
    <t>MARTIKA MINTOROWATI</t>
  </si>
  <si>
    <t>3571024803900002</t>
  </si>
  <si>
    <t>MADIUN</t>
  </si>
  <si>
    <t>TIKAMARTIKA8080@GMAIL.COM</t>
  </si>
  <si>
    <t>082131508822</t>
  </si>
  <si>
    <t>JL ISWAHYUDI NO 3 MADIUN</t>
  </si>
  <si>
    <t>165/80</t>
  </si>
  <si>
    <t>15439003000178</t>
  </si>
  <si>
    <t>3577031009240007</t>
  </si>
  <si>
    <t>SISWATI</t>
  </si>
  <si>
    <t>LUCKY MOM INDONESIA</t>
  </si>
  <si>
    <t>JAWA TIMUR</t>
  </si>
  <si>
    <t>KABUPATEN KEDIRI</t>
  </si>
  <si>
    <t>761230002623000</t>
  </si>
  <si>
    <t>DS METESIH RT 5 RW 2 KEV JIWAN KAB MADIUN</t>
  </si>
  <si>
    <t>https://drive.google.com/open?id=169h2e7gx207W2dcG3iNaz9UY3G3OfQCb</t>
  </si>
  <si>
    <t>https://drive.google.com/open?id=1qLJq3M6VZ6jmX5BucJg_4sSi4c4_9feE</t>
  </si>
  <si>
    <t>https://drive.google.com/open?id=1AJ2I93eA4C37CSmsKBye0va_3uZiGbPH</t>
  </si>
  <si>
    <t>https://drive.google.com/open?id=1Rbp-CIbLp1N0rUwDKXFI7qFW-FoxvaaW</t>
  </si>
  <si>
    <t>https://drive.google.com/open?id=1fop66rtYxX4AHha-q4pCUg7xM-lciYSj</t>
  </si>
  <si>
    <t>https://drive.google.com/open?id=1TYwgswnnChRHm4EQ4AzZjwi-hgb4k-yb</t>
  </si>
  <si>
    <t>https://drive.google.com/open?id=10ZY5dqlqFM3AW7nzWlGXd00mmXmeDSwK</t>
  </si>
  <si>
    <t>https://drive.google.com/open?id=1s961SHQjXnD513f9JyZpCxypGcqAgndq</t>
  </si>
  <si>
    <t>AYUDIA NOVA ARSILLA MAHARDANI</t>
  </si>
  <si>
    <t>3320016011060002</t>
  </si>
  <si>
    <t>PRAMDHANI4@GMAIL.COM</t>
  </si>
  <si>
    <t>081215424982</t>
  </si>
  <si>
    <t>SOWAN LOR, RT 13/RW 03 KEDUNG, JEPARA</t>
  </si>
  <si>
    <t>161/55</t>
  </si>
  <si>
    <t>3320011310060001</t>
  </si>
  <si>
    <t>YAYUK ISMIYATI</t>
  </si>
  <si>
    <t>1. PKL DI BUMDESMA BINA ARTHA SELAMA 6 BULAN
2. ADMIN DAN KASIR - BUTIK YUNIFASHION - JULI - SEKARANG 2026</t>
  </si>
  <si>
    <t>SOWAN LOR</t>
  </si>
  <si>
    <t>https://drive.google.com/open?id=1_SM6eHH321Z8xFpwJQGBx3yVJu04mvom</t>
  </si>
  <si>
    <t>https://drive.google.com/open?id=1EAkg-seAalkb3U-LspY-cfBgSNrvTyPH</t>
  </si>
  <si>
    <t>https://drive.google.com/open?id=1r7lh-2LbRyfjLsLWBpRYwyuIoZCR0EFf</t>
  </si>
  <si>
    <t>https://drive.google.com/open?id=1icJ-ZSQNErxqc3CVTUWnwpwvXpnuVGEQ</t>
  </si>
  <si>
    <t>https://drive.google.com/open?id=1x-x7lsIyrWtN3MclE365hROjyOF5xOdZ</t>
  </si>
  <si>
    <t>https://drive.google.com/open?id=1WOBxamwl2hzFxNEYnULbTw1RnJQGG6w8</t>
  </si>
  <si>
    <t>https://drive.google.com/open?id=1bObqzIJ8ctf_faY62r7TMO4dcBuFlBFy</t>
  </si>
  <si>
    <t>https://drive.google.com/open?id=13Xo9-25_MPM2cyeLockKNrYTDDrqAEqS</t>
  </si>
  <si>
    <t>https://drive.google.com/open?id=1qvCCE15_wpGR-kPAFbbKnJ9LenzzNczk</t>
  </si>
  <si>
    <t>https://drive.google.com/open?id=1NHr2_sAvIvb4FEta32lU0feOp1BsW9ki</t>
  </si>
  <si>
    <t>https://drive.google.com/open?id=1_cHq5g51msAi_GiENuTgKLfqIkXS3dsU</t>
  </si>
  <si>
    <t>SAEPULROHMAN CIHUNI</t>
  </si>
  <si>
    <t>ISNAWATI</t>
  </si>
  <si>
    <t>6371045008920017</t>
  </si>
  <si>
    <t>ISNABUBUN669@GMAIL.COM</t>
  </si>
  <si>
    <t>083863122962</t>
  </si>
  <si>
    <t>JL. KUIN UTARA GG AL-MIZAN</t>
  </si>
  <si>
    <t>150/50</t>
  </si>
  <si>
    <t>3209180806170009</t>
  </si>
  <si>
    <t>ASIAH</t>
  </si>
  <si>
    <t>YULIAWATI</t>
  </si>
  <si>
    <t>3211166106980006</t>
  </si>
  <si>
    <t>JL. KUIN UTARA</t>
  </si>
  <si>
    <t>SUMEDANG</t>
  </si>
  <si>
    <t>YULIAWATINURFADILAH2106@GMAIL.COM</t>
  </si>
  <si>
    <t>087837959730</t>
  </si>
  <si>
    <t>LINGKUNGAN KARAPYAK RT 04 RW 08 KEL SITU KEC SUMEDANG UTARA SUMEDANG</t>
  </si>
  <si>
    <t>https://drive.google.com/open?id=1xIMSavOG7vcR2_vUd6Di-T-RR0usPCFW</t>
  </si>
  <si>
    <t>https://drive.google.com/open?id=1aaxwZSF_8oLvDuD7Yuv8tMn45n0DduHc</t>
  </si>
  <si>
    <t>155/43</t>
  </si>
  <si>
    <t>https://drive.google.com/open?id=1qDRJ_XQfNGvcO-pbgPPK2SsxS7kNequn</t>
  </si>
  <si>
    <t>https://drive.google.com/open?id=1fukIODwvQE4wvFFSEXw9ZyZ0Rq8g6WeJ</t>
  </si>
  <si>
    <t>https://drive.google.com/open?id=1-rFGBurKNuQVqH51Kr5m2QG4EdEWV-ex</t>
  </si>
  <si>
    <t>3211181009200014</t>
  </si>
  <si>
    <t>https://drive.google.com/open?id=1nmtJpre6AVfiEeRT4S5RVjBvexRsOyH6</t>
  </si>
  <si>
    <t>https://drive.google.com/open?id=1Zh3emWn3jioRGj-BFZEfTLjzaqF9bjQO</t>
  </si>
  <si>
    <t>PT LUCKY MOM INDONESIA (MAKUKU)</t>
  </si>
  <si>
    <t>LINA YUNIVA</t>
  </si>
  <si>
    <t>KABUPATEN SUMEDANG</t>
  </si>
  <si>
    <t>3518054606980002</t>
  </si>
  <si>
    <t>NGANJUK</t>
  </si>
  <si>
    <t>93.523.868.3-44600</t>
  </si>
  <si>
    <t>LINAYUNIFAPHONE@GMAIL.COM</t>
  </si>
  <si>
    <t>085774603336</t>
  </si>
  <si>
    <t>DS KEPANJEN PACE NGANJUK</t>
  </si>
  <si>
    <t>158/57</t>
  </si>
  <si>
    <t>15389806000494</t>
  </si>
  <si>
    <t>3518051104260003</t>
  </si>
  <si>
    <t>SUDARSIH</t>
  </si>
  <si>
    <t>SPG MATAHARI DEPSTORE SMD PMA SPG EVENT</t>
  </si>
  <si>
    <t>KABUPATEN NGANJUK</t>
  </si>
  <si>
    <t>https://drive.google.com/open?id=1mYzGtsDd6G_Ykzh8jQXz9UJTHk3f3Y9j</t>
  </si>
  <si>
    <t>https://drive.google.com/open?id=1Lm0Xkj6FOhjff8HZGnaT50mYxrEkR1km</t>
  </si>
  <si>
    <t>https://drive.google.com/open?id=1IHNv27k4Y_gTvDTq7JFFIRrP3CW_ujWw</t>
  </si>
  <si>
    <t>https://drive.google.com/open?id=1rzod3nh9uo68G3hI9CZJLcNXXzhRuS6n</t>
  </si>
  <si>
    <t>https://drive.google.com/open?id=1DEUsT-PfZVkgPFYYRmVJvxO1tn20T9Bx</t>
  </si>
  <si>
    <t>https://drive.google.com/open?id=1S4UcYjlQmSo69fbn-qcJMHOSrBJd2DG7</t>
  </si>
  <si>
    <t>https://drive.google.com/open?id=1BELqv4IEr_U3TOuevWy3i5WeoeYY389A</t>
  </si>
  <si>
    <t>https://drive.google.com/open?id=1B4AVmMcjA8ZjChygdahO3ZOhIBWqgvhI</t>
  </si>
  <si>
    <t>LUWES GROUP</t>
  </si>
  <si>
    <t>IKA PUSPITA YULIANI</t>
  </si>
  <si>
    <t>3506186607960007</t>
  </si>
  <si>
    <t>KEDIRI</t>
  </si>
  <si>
    <t>IKAPUSPITA2626@GMAIL.COM</t>
  </si>
  <si>
    <t>085853840650</t>
  </si>
  <si>
    <t>DSN BOBOSAN RT/RW 002/002 DS KEMIRI KEC KANDANGAN KAB KEDIRI</t>
  </si>
  <si>
    <t>155/63</t>
  </si>
  <si>
    <t>3506193003200005</t>
  </si>
  <si>
    <t>https://drive.google.com/open?id=1IvYBqUw8cWrsBHuBXrOfX3CuEkG3odvD</t>
  </si>
  <si>
    <t>ANI HIDAYATI</t>
  </si>
  <si>
    <t>https://drive.google.com/open?id=1CVw0Gz_Ue5E9x-LPoxfyBEKWzY0hItMh</t>
  </si>
  <si>
    <t>https://drive.google.com/open?id=19bouH_wvKkG3S5WsV5i8a-fCk0gro-G-</t>
  </si>
  <si>
    <t>1. KASIR INDOMARET
2. BA QL KOSMETIK
3. SPG EVENT UNILEVER
4. SPG EVENT MILO
5. SPG REGULER PT GONDOWANGI KOSMETIKA
6. EVENT SIDU
7. EVENT INDOMILK
8. SPG REGULER PT KINO INDONESIA TBK</t>
  </si>
  <si>
    <t>https://drive.google.com/open?id=1GI3Tbk-GG4XR6kx1BeM_JquBY6eU3599</t>
  </si>
  <si>
    <t>https://drive.google.com/open?id=1wj9NiryUfnewA5oWihkvzZbAtykssC0b</t>
  </si>
  <si>
    <t>GRIYA SUMEDANG</t>
  </si>
  <si>
    <t>805123387655000</t>
  </si>
  <si>
    <t>DSN KENCONG TENGAH RT/RW 005/002 KEC KEPUNG KAB KEDIRI</t>
  </si>
  <si>
    <t>LIA NUR FITRIANI</t>
  </si>
  <si>
    <t>3211184208950006</t>
  </si>
  <si>
    <t>https://drive.google.com/open?id=1Z50bm8YUWJe8b5Cf6rJLJY6NAiQ8y4Kb</t>
  </si>
  <si>
    <t>https://drive.google.com/open?id=1UvDzRghSJ3c_727NVLeLFva4fRe577cI</t>
  </si>
  <si>
    <t>2-Agu-1995</t>
  </si>
  <si>
    <t>https://drive.google.com/open?id=1z0cKgWuBiSBiqu0JhElbYaGvHevp3HYS</t>
  </si>
  <si>
    <t>LIANURFITRIANY@GMAIL.COM</t>
  </si>
  <si>
    <t>https://drive.google.com/open?id=1ZlLWFwrbYMhzqbWJxeHQViyFaD_FDvqu</t>
  </si>
  <si>
    <t>082316310551</t>
  </si>
  <si>
    <t>https://drive.google.com/open?id=1EupIlRTynqrfAAmJbDxMqm8f9ppoMPXQ</t>
  </si>
  <si>
    <t xml:space="preserve">LINGKUNGAN PANGADUAN HEUBEUL 002 011 </t>
  </si>
  <si>
    <t>https://drive.google.com/open?id=1Of6WH12BR2SdCi01lDcoNF94zQ_Mkx_W</t>
  </si>
  <si>
    <t>https://drive.google.com/open?id=1G-kyfiWn8IE4soY4h08PNqUveg2c_x-c</t>
  </si>
  <si>
    <t>154/60</t>
  </si>
  <si>
    <t>SUPER TOP</t>
  </si>
  <si>
    <t>3211180608190012</t>
  </si>
  <si>
    <t>KOKOM KOMARIAH</t>
  </si>
  <si>
    <t>PT SAYAP MAS UTAMA (SPG WINGS 2013 - 2022)</t>
  </si>
  <si>
    <t>SUSI SUSANTI</t>
  </si>
  <si>
    <t>3506105107950001</t>
  </si>
  <si>
    <t>SHANTYPHESEK3@GMAIL.COM</t>
  </si>
  <si>
    <t>087782866614</t>
  </si>
  <si>
    <t>RT. 06 RW.05 DSN. BANJAREJO DS. BESUK KEC. GURAH KAB. KEDIRI</t>
  </si>
  <si>
    <t>3506101102190005</t>
  </si>
  <si>
    <t>LILIK YULIANI</t>
  </si>
  <si>
    <t>SPG EVENT WING</t>
  </si>
  <si>
    <t>https://drive.google.com/open?id=1PVKfJE7CBsxSTTgGlRIi9Ue5jd5VDD4a</t>
  </si>
  <si>
    <t>-</t>
  </si>
  <si>
    <t>0333293924</t>
  </si>
  <si>
    <t>GURAH</t>
  </si>
  <si>
    <t>https://drive.google.com/open?id=1YUlwz27xM-l-V_z0oP_UM2pFT9updKR4</t>
  </si>
  <si>
    <t>https://drive.google.com/open?id=1AhNkM_qOqf306g-gTMGWqvj0rhF_TfV3</t>
  </si>
  <si>
    <t>https://drive.google.com/open?id=1D0oFuYV6Y5MYZJ2zjVUa4SyUC5-nh_tz</t>
  </si>
  <si>
    <t>https://drive.google.com/open?id=1EFfSLNiXN6U1hApyL2tCvKXujmuCGneF</t>
  </si>
  <si>
    <t>https://drive.google.com/open?id=16EOJ6G1dtN-xSb7eTD6_gGTbxUGYirPk</t>
  </si>
  <si>
    <t>https://drive.google.com/open?id=1A4cD54gj--Q_tiraOHDj8BOpqdcTsWXK</t>
  </si>
  <si>
    <t>https://drive.google.com/open?id=1qJEUz4pZzcMnqwl1OKgzrnDHxk93q-wU</t>
  </si>
  <si>
    <t>SITI KUSNUL KHOTIMAH</t>
  </si>
  <si>
    <t>3518046109980001</t>
  </si>
  <si>
    <t>KHUSNUL.NULL22111@GMAIL.COM</t>
  </si>
  <si>
    <t>083851372958</t>
  </si>
  <si>
    <t>DS. SEKARAN KEC. LOCERET KAB. NGANJUK</t>
  </si>
  <si>
    <t>150/45</t>
  </si>
  <si>
    <t>https://drive.google.com/open?id=1fPm-IddLfhMDgbDXAxRBZBILX-0AvOHt</t>
  </si>
  <si>
    <t>https://drive.google.com/open?id=1jZSAMgPPEygRfvE0HQDpx4LlMr9jmIBB</t>
  </si>
  <si>
    <t>3518042104200008</t>
  </si>
  <si>
    <t>https://drive.google.com/open?id=1AFzBQF1W50kEBZiAlBb4Tg1rbOaGRH27</t>
  </si>
  <si>
    <t>SALIYEM</t>
  </si>
  <si>
    <t>BA INEZ COSMETIC, 
EVENT DANCOW
EVENT SPAGHETTI WOW
EVENT SARIROTI</t>
  </si>
  <si>
    <t>https://drive.google.com/open?id=1IG-RPGPWSCh0iuBxA2FtKJzcTXGx2yt1</t>
  </si>
  <si>
    <t>https://drive.google.com/open?id=1FD4Qmqt4JRMrMaESaMe_-eGljKTk9xtY</t>
  </si>
  <si>
    <t xml:space="preserve">NUR ELIDAH </t>
  </si>
  <si>
    <t>3328144711970003</t>
  </si>
  <si>
    <t>https://drive.google.com/open?id=1bdG_W1aBv-XBl6ZNif2L70_IZRiZE96H</t>
  </si>
  <si>
    <t>https://drive.google.com/open?id=1pzfrNJYvXsdDgD_3HKOo37Rx2MzUx1tJ</t>
  </si>
  <si>
    <t>ELIDAHNUR74@GMAIL.COM</t>
  </si>
  <si>
    <t>https://drive.google.com/open?id=11Jxlj1-FuZLmK_sg1sHPq2W6ltn6gvom</t>
  </si>
  <si>
    <t>085799597210</t>
  </si>
  <si>
    <t>https://drive.google.com/open?id=1n3Ng2smokYqWAFE0vKx2bJLN43mrfaIc</t>
  </si>
  <si>
    <t xml:space="preserve">MARGAPADANG RT 14 RW 02 KECAMATAN TARUB KABUPATEN TEGAL </t>
  </si>
  <si>
    <t>https://drive.google.com/open?id=1nuIVk3H916uduXJAeXGff4m2Ur659j5a</t>
  </si>
  <si>
    <t>https://drive.google.com/open?id=1F0Fc0d--ulCg1Mx6wnetxIRhM-RQl-B9</t>
  </si>
  <si>
    <t>https://drive.google.com/open?id=1LiGkwxY4Rp5NmsSFVCm0KzyrVHJnZAFT</t>
  </si>
  <si>
    <t>165/70</t>
  </si>
  <si>
    <t>PRIMA SWALAYAN</t>
  </si>
  <si>
    <t>3328140211210006</t>
  </si>
  <si>
    <t xml:space="preserve">TAISAH </t>
  </si>
  <si>
    <t>JENNITA PUSPITA SARI</t>
  </si>
  <si>
    <t>3404065306040003</t>
  </si>
  <si>
    <t>MD PASEO</t>
  </si>
  <si>
    <t>SLEMAN</t>
  </si>
  <si>
    <t>JENNITAPUSPITASARI@GMAIL.COM</t>
  </si>
  <si>
    <t>085895329971</t>
  </si>
  <si>
    <t>DSN.SENOWO, RT.21 RW.04, DS.KENCONG, KEC.KEPUNG</t>
  </si>
  <si>
    <t>158/43</t>
  </si>
  <si>
    <t>3506181411190003</t>
  </si>
  <si>
    <t>PUJIATI</t>
  </si>
  <si>
    <t xml:space="preserve">- BA LOVENDA
- BA SYB &amp; YESNOW
- SPG SHINZU'I GROUP 
- SPG MORRIS
- SPG EVENT WINGS
- BA EVENT STUDIO TROPIK
- SPG EVENT UNICARM 
- SPG EVENT KIMBERLY SOFTEX </t>
  </si>
  <si>
    <t>KRISTEN</t>
  </si>
  <si>
    <t>https://drive.google.com/open?id=1x-e_ELgJP5jNVCdH5gbzX5O4D1zO5qji</t>
  </si>
  <si>
    <t>https://drive.google.com/open?id=1iD2AltUL1XmGCsKqbDwt2yUkdLskVclM</t>
  </si>
  <si>
    <t>https://drive.google.com/open?id=188UdpE6lBSO1dV4e-wcbYp3DKJ7uBJXc</t>
  </si>
  <si>
    <t>https://drive.google.com/open?id=1DN0pg3i8RmGvIkojDFBA4_caVjFADEl3</t>
  </si>
  <si>
    <t>https://drive.google.com/open?id=1Vn84B5g8m_SewrmV4yqNDSKchRJfoQOa</t>
  </si>
  <si>
    <t>https://drive.google.com/open?id=1J2hcQUKNWccx-PeC-rBtPi3-K6XNgsxd</t>
  </si>
  <si>
    <t>https://drive.google.com/open?id=19jCMztwOIj9DZCA2JFYmQ-F3bluHS-Qb</t>
  </si>
  <si>
    <t>TOP SWALAYAN</t>
  </si>
  <si>
    <t>https://drive.google.com/open?id=1FORclPrgqxKeuHdWr_Ax1s-VAfhvd184</t>
  </si>
  <si>
    <t>https://drive.google.com/open?id=1-s2TiOB6TAvHh2fVZ1qStiy_zaoPMRYt</t>
  </si>
  <si>
    <t>RATNA DYAH OKTAVIANA</t>
  </si>
  <si>
    <t>https://drive.google.com/open?id=1FnObHALkLRiLaQuCYIW-UPC1GwZQKMPA</t>
  </si>
  <si>
    <t>3504034310050002</t>
  </si>
  <si>
    <t>https://drive.google.com/open?id=1H45VyxtZykQZhbRYO0Gbn5kiiHZqhjS9</t>
  </si>
  <si>
    <t>TULUNGAGUNG</t>
  </si>
  <si>
    <t>https://drive.google.com/open?id=10MVmVlRvAd0gZ-utQ9G29jRsXFCEDXsB</t>
  </si>
  <si>
    <t>RATNADYAHOKTAVIANA91@GMAIL.COM</t>
  </si>
  <si>
    <t>https://drive.google.com/open?id=1hEJnQo7Tm_J6aCdUWhIAmSd3wUmeMxCt</t>
  </si>
  <si>
    <t>081456125438</t>
  </si>
  <si>
    <t>RITA MALL RITA TEGAL</t>
  </si>
  <si>
    <t>RT 003/ RW 004, DESA TAPAN KECAMATAN KEDUNGWARU, TULUNGAGUNG</t>
  </si>
  <si>
    <t>157/55</t>
  </si>
  <si>
    <t>15370510000001</t>
  </si>
  <si>
    <t>3504031110110004</t>
  </si>
  <si>
    <t>SRI NARSIH</t>
  </si>
  <si>
    <t>SPG EVENT BRAVO SUPERMARKET TULUNGAGUNG</t>
  </si>
  <si>
    <t>MIRA SARASWATI</t>
  </si>
  <si>
    <t>3206176711940001</t>
  </si>
  <si>
    <t>KABUPATEN TULUNGAGUNG</t>
  </si>
  <si>
    <t>MIRASARASWATI2727@GMAIL.COM</t>
  </si>
  <si>
    <t>0482974234</t>
  </si>
  <si>
    <t>081221770400</t>
  </si>
  <si>
    <t>TAPAN</t>
  </si>
  <si>
    <t>JLN GUNUNGMANGGU PERUM GRAND METRO BLOCK A12 RT/RW 003/016 KEL SUKAMAJUKALER KEC INDIHIANG KOTA TASIKMALAYA
JLN GUNUNGMANGGU PERUM GRAND METRO BLOCK A12 RT/RW 003/016 KEL SUKAMAJUKALER KEC INDIHIANG KOTA TASIKMALAYA</t>
  </si>
  <si>
    <t>165/57</t>
  </si>
  <si>
    <t>https://drive.google.com/open?id=1TtfVvscVtEvu4aAz4fxoOhE4NivkZG4u</t>
  </si>
  <si>
    <t>3278042811220009</t>
  </si>
  <si>
    <t>https://drive.google.com/open?id=1L45cCiy8aZij3DL6Ig2XxlUgvPUi24cq</t>
  </si>
  <si>
    <t>KUYUM</t>
  </si>
  <si>
    <t>https://drive.google.com/open?id=18LfgwgD9l-SY0svCdjkhMb5ajAKzjXvM</t>
  </si>
  <si>
    <t>SPG REGULER DAN EVENT</t>
  </si>
  <si>
    <t>https://drive.google.com/open?id=1C_qhMlaQw6vK5du-b30TAIN2YuC4UEV2</t>
  </si>
  <si>
    <t>https://drive.google.com/open?id=1nx8nBgmiqcNaW8M7COjkIiBLQqnQC-yb</t>
  </si>
  <si>
    <t>https://drive.google.com/open?id=1sqK84Ap7YDPu_sL5Ryu-rxLSWzfSY5Rt</t>
  </si>
  <si>
    <t>https://drive.google.com/open?id=1dSmsgcsVB4IzPU3mw4duuNN6J8UK9c3Q</t>
  </si>
  <si>
    <t>BRAVO SUPERMARKET TULUNGAGUNG</t>
  </si>
  <si>
    <t>SUSMIATI</t>
  </si>
  <si>
    <t>3504074802910001</t>
  </si>
  <si>
    <t>https://drive.google.com/open?id=16NkJKlsWCmsbV4Jm9Nn9Lf_0fz0ZYV2d</t>
  </si>
  <si>
    <t>SUSMIATI821@GMAIL.COM</t>
  </si>
  <si>
    <t>https://drive.google.com/open?id=1-h8MGN3PVYDCrFkNQfJFz7dlfFngs0Bj</t>
  </si>
  <si>
    <t>081559665111</t>
  </si>
  <si>
    <t>DSN KAYULAWANG RT 01 RW 01 KEDOYO SENDANG</t>
  </si>
  <si>
    <t>https://drive.google.com/open?id=1IKCfm08o_etGf8zQ4YGdxJhCHL9C4d7b</t>
  </si>
  <si>
    <t>https://drive.google.com/open?id=1BCHA20qSbkV3JUTYQiPZqyOwDMcUwiQ1</t>
  </si>
  <si>
    <t>https://drive.google.com/open?id=10RB2Dcw9gBJqqCJgv501aMD8L_xxYNlQ</t>
  </si>
  <si>
    <t>https://drive.google.com/open?id=1-htY3S7cmCscRarCy2PAux94jPdTq0YK</t>
  </si>
  <si>
    <t>3504071204054752</t>
  </si>
  <si>
    <t>MINGAH</t>
  </si>
  <si>
    <t>YOGYA HZ*</t>
  </si>
  <si>
    <t>SPG FASHION, SPG EVENT</t>
  </si>
  <si>
    <t>0481572869</t>
  </si>
  <si>
    <t>TAMANAN/KARANGWARU (KOS)</t>
  </si>
  <si>
    <t xml:space="preserve">NITA ARDIANTI </t>
  </si>
  <si>
    <t>3278035609960008</t>
  </si>
  <si>
    <t>NITARDIANTI16@GMAIL.COM</t>
  </si>
  <si>
    <t>087726731473</t>
  </si>
  <si>
    <t>https://drive.google.com/open?id=1sm4cKBKN_9ZKg-SfXPz7aD_FV3pEEqWI</t>
  </si>
  <si>
    <t>JL. KH TUBAGUS ABDULLAH DALEUM</t>
  </si>
  <si>
    <t>https://drive.google.com/open?id=1i1X7duGGq-bk5CZzTcSFpgaepFCYAplJ</t>
  </si>
  <si>
    <t>https://drive.google.com/open?id=1lXEdY6Cclwi5RRbxzkh7taboqCUmJKZv</t>
  </si>
  <si>
    <t>https://drive.google.com/open?id=1uzy7QDHMJTXOq6yv6M7Sw7TH8R9eeFFL</t>
  </si>
  <si>
    <t>https://drive.google.com/open?id=13ujLbF0dOwvDvmLMqF4mLim7fy0OQzWX</t>
  </si>
  <si>
    <t>https://drive.google.com/open?id=11Xk-AakHTvbI30aiZUefVfj3W1mEZI8G</t>
  </si>
  <si>
    <t>3278102104220004</t>
  </si>
  <si>
    <t>https://drive.google.com/open?id=11kRAMshTTtZ65A8vNxQdZoD94zx2sme0</t>
  </si>
  <si>
    <t>ILAH</t>
  </si>
  <si>
    <t>AYU FITRI WULANDARI</t>
  </si>
  <si>
    <t>3506115912020001</t>
  </si>
  <si>
    <t>AYUFITRIWULANDARI85@GMAIL.COM</t>
  </si>
  <si>
    <t>082337789908</t>
  </si>
  <si>
    <t>DESA.KAMBINGAN, KEC.PAGU</t>
  </si>
  <si>
    <t>157/58</t>
  </si>
  <si>
    <t>3506111612102922</t>
  </si>
  <si>
    <t>SITI MAHMUDAH</t>
  </si>
  <si>
    <t>MAGANG DI BAPPEDA
SPG EVENT BIHUN JAGUNG PADAMU</t>
  </si>
  <si>
    <t>https://drive.google.com/open?id=1uiLxdX6Y2fWqbIAQIpRF9hGM-OFOUeth</t>
  </si>
  <si>
    <t>https://drive.google.com/open?id=1vgv4d3ABysP7fUr3HJ5vB6oNWYnbfzYl</t>
  </si>
  <si>
    <t>https://drive.google.com/open?id=1W2hABQNSZRofEmPOrHjl58DH4-fTcL_f</t>
  </si>
  <si>
    <t>https://drive.google.com/open?id=1E5n4-AR6GsRvqT-Eov3Lc9yqr5fL9EPs</t>
  </si>
  <si>
    <t>https://drive.google.com/open?id=1Sw3I2DoCk059MoxIbCpsJtcU2umTD_5n</t>
  </si>
  <si>
    <t>https://drive.google.com/open?id=11PQRJTQwjpPNxYqLtxMP3eHQtWMeFL11</t>
  </si>
  <si>
    <t>https://drive.google.com/open?id=1WOLK0JsiGauyAIEej1Jpx7gP8ieh2agq</t>
  </si>
  <si>
    <t>9162.867.6-42500</t>
  </si>
  <si>
    <t>NANIK PRIYANTINI</t>
  </si>
  <si>
    <t>3518127103900001</t>
  </si>
  <si>
    <t>PRIYANTININANIK28@GMAIL.COM</t>
  </si>
  <si>
    <t>085857638417</t>
  </si>
  <si>
    <t>KAPAS RT 01 RW 04 KECAMATAN KABUPATEN NGANJUK</t>
  </si>
  <si>
    <t>149/45</t>
  </si>
  <si>
    <t>15389003000359</t>
  </si>
  <si>
    <t>3518123009150003</t>
  </si>
  <si>
    <t>https://drive.google.com/open?id=1tmr6mzqvxcxxdippfal4m85h5bzhroab</t>
  </si>
  <si>
    <t>SEMY BOELAN</t>
  </si>
  <si>
    <t>https://drive.google.com/open?id=1Vz1gyLpre6mX1Us3uiTIAGMWV8iavAwh</t>
  </si>
  <si>
    <t>SPG WINGS</t>
  </si>
  <si>
    <t>https://drive.google.com/open?id=1TMR6MzqvxcXxDIppfaL4M85H5BzhRoaB</t>
  </si>
  <si>
    <t>https://drive.google.com/open?id=16wIyBV7lpX09YfYX9gAun_GoBd4WpnNF</t>
  </si>
  <si>
    <t>https://drive.google.com/open?id=1W7J16iiX7de3PTpe72rB1R9f8n1HA6_0</t>
  </si>
  <si>
    <t>https://drive.google.com/open?id=1GrE8lRPUNRaRRDJoCdWbZFZWnKkW_hZQ</t>
  </si>
  <si>
    <t>https://drive.google.com/open?id=14USglkdCD4YbAi9dc-exdVtbhyOgs21R</t>
  </si>
  <si>
    <t>KAPAS RT 01 RW 04 KEC SUKOMORO KAB NGANJUK</t>
  </si>
  <si>
    <t>YUNIAR RAHMAWATI</t>
  </si>
  <si>
    <t>3208086507980003</t>
  </si>
  <si>
    <t>RYUNIAR416@GMAIL.COM</t>
  </si>
  <si>
    <t>08551719759</t>
  </si>
  <si>
    <t>DSN PAHING RT/RW 002/001 DS CITIUSARI KEC GARAWANGI KAB KUNINGAN</t>
  </si>
  <si>
    <t>160/56</t>
  </si>
  <si>
    <t>SMP</t>
  </si>
  <si>
    <t>3208090502260002</t>
  </si>
  <si>
    <t>NUNUNG HASANAH</t>
  </si>
  <si>
    <t>https://drive.google.com/open?id=1BlkNHjucDuMi8SFOB6uhdSCssBmhSkrd</t>
  </si>
  <si>
    <t>https://drive.google.com/open?id=1gQx9QjPFK5EeotbZ43SHdBAX2Ou3H3ay</t>
  </si>
  <si>
    <t>https://drive.google.com/open?id=1GZVO5-IRA1lWiECZALM0yQ0-l3BiIizQ</t>
  </si>
  <si>
    <t>https://drive.google.com/open?id=1qV-MQQJ9BuV3QvxeA_9xCZ4RSfkkbqOq</t>
  </si>
  <si>
    <t>https://drive.google.com/open?id=1JpqgHMFboSsdVKOA02g8iZ66jGKERyJl</t>
  </si>
  <si>
    <t>https://drive.google.com/open?id=1sUPN1PoYn0VY6i5SLKSGuMoCtLuucY0t</t>
  </si>
  <si>
    <t>https://drive.google.com/open?id=1JD5PqTyqjLF_-Ow-nlttsEU0Knt6-Wzf</t>
  </si>
  <si>
    <t>VIKA AMANDA WULANDARI</t>
  </si>
  <si>
    <t>3524135504050003</t>
  </si>
  <si>
    <t>LAMONGAN</t>
  </si>
  <si>
    <t>VIKAAMANDA1504@GMAIL.COM</t>
  </si>
  <si>
    <t>085748094309</t>
  </si>
  <si>
    <t>DESA CUNGKUP KEC. PUCUK, KAB. LAMONGAN</t>
  </si>
  <si>
    <t>155/49</t>
  </si>
  <si>
    <t>86.59065.8-43800</t>
  </si>
  <si>
    <t>3524131105160001</t>
  </si>
  <si>
    <t>SUBAIKAH</t>
  </si>
  <si>
    <t>CV. RENA FACTORY OUTLET LAMONGAN</t>
  </si>
  <si>
    <t>DS CITIUSARI KEC GARAWANGI KAB KUNINGAN</t>
  </si>
  <si>
    <t>KABUPATEN LAMONGAN</t>
  </si>
  <si>
    <t>DESA CUNGKUP, KEC. PUCUK, KAB. LAMONGAN</t>
  </si>
  <si>
    <t>https://drive.google.com/open?id=1tWeLCFxueJ9GFIJ8NPXDFkrtCRB4dmkh</t>
  </si>
  <si>
    <t>https://drive.google.com/open?id=1Osa_vVaqTEwCoHx_hMMuGfBtAVbUxdPt</t>
  </si>
  <si>
    <t>https://drive.google.com/open?id=11BbMTBGojs_8RI9cGuICVnHUTReSH9MD</t>
  </si>
  <si>
    <t>https://drive.google.com/open?id=19nkHvrxczO-44Pq2w_grr1-Eqm2TqsZJ</t>
  </si>
  <si>
    <t>https://drive.google.com/open?id=16k4aJ2VTLYkSnBJNisvdtpv9rShN0dhh</t>
  </si>
  <si>
    <t>https://drive.google.com/open?id=1oCHlWF-1u-nXzcAkaX9b8SH4W8wHKthW</t>
  </si>
  <si>
    <t>https://drive.google.com/open?id=1rochM-7Bk8ghGskVWLp2HlKwrDFiDMTS</t>
  </si>
  <si>
    <t>https://drive.google.com/open?id=1Zs_dU9OVUOYYdERcQyayxnd078LPR4Ip</t>
  </si>
  <si>
    <t>https://drive.google.com/open?id=1arAnvaKNPTGz1JQjbh2mcJ0mvUBzUnSt</t>
  </si>
  <si>
    <t>SAHABAT</t>
  </si>
  <si>
    <t>https://drive.google.com/open?id=1mGEWCtW3KwfRWKSNbp09yId2czRThWl4</t>
  </si>
  <si>
    <t>https://drive.google.com/open?id=1EqaYejVY0JGrJrQNtHh9fxW-NDBIDCSX</t>
  </si>
  <si>
    <t>https://drive.google.com/open?id=1tNrYKT-6HhtNL-IPiJjTKQmTdcCJmgqv</t>
  </si>
  <si>
    <t>https://drive.google.com/open?id=1C1_9gtP4Rp9NG6-BO4TN4uLDW8FluPjk</t>
  </si>
  <si>
    <t xml:space="preserve">MIA MEILANI </t>
  </si>
  <si>
    <t>3208096005010004</t>
  </si>
  <si>
    <t>ISTANA LAMONGAN</t>
  </si>
  <si>
    <t>20-Mei-2001</t>
  </si>
  <si>
    <t>MIAMEILANI085@GMAIL.COM</t>
  </si>
  <si>
    <t>088223628726</t>
  </si>
  <si>
    <t xml:space="preserve">LINK.KLIWON RT 009/003 PURWAWINANGUN </t>
  </si>
  <si>
    <t>ELY NURAINI</t>
  </si>
  <si>
    <t>3506024508910003</t>
  </si>
  <si>
    <t>155/56</t>
  </si>
  <si>
    <t>ELLY.NURAINI58@GMAIL.COM</t>
  </si>
  <si>
    <t>085235347789</t>
  </si>
  <si>
    <t>3208312410020004</t>
  </si>
  <si>
    <t>DS. BANDUNGAN, KEC. SARADAN, KAB. MADIUN</t>
  </si>
  <si>
    <t>15349108000215</t>
  </si>
  <si>
    <t>3208092707200001</t>
  </si>
  <si>
    <t>3519120808160006</t>
  </si>
  <si>
    <t>UMI HANIK</t>
  </si>
  <si>
    <t xml:space="preserve">NENI SUHAENI </t>
  </si>
  <si>
    <t xml:space="preserve">•SPG EVENT DANCOW 
•SPG EVENT SASA
•SPG EVENT SOFTEX </t>
  </si>
  <si>
    <t>728517392655000</t>
  </si>
  <si>
    <t>0332341446</t>
  </si>
  <si>
    <t xml:space="preserve">JL.BOJONG SERANG AWIRARANGAN NO.A17 KUNINGAN JAWA BARAT </t>
  </si>
  <si>
    <t>DS. TAMBIBENDO, KEC. MOJO</t>
  </si>
  <si>
    <t xml:space="preserve">KUNINGAN JAWA BARAT </t>
  </si>
  <si>
    <t>https://drive.google.com/open?id=1vrLo1rGjTgj8w4Zb9xWvRlW4yKyffqJl</t>
  </si>
  <si>
    <t>https://drive.google.com/open?id=1D-SvDlHKzmUSn29pV76f6vREhAQ5bsDm</t>
  </si>
  <si>
    <t>https://drive.google.com/open?id=1yLz_OjrUWx1B_MdQiVNiixPYcDx-pwZF</t>
  </si>
  <si>
    <t>https://drive.google.com/open?id=142cepzRSw34MPJCBPVCwujTATT2QuhuR</t>
  </si>
  <si>
    <t>https://drive.google.com/open?id=12eOuNvu_vzjb_mOMYYVKHqATP220wIjc</t>
  </si>
  <si>
    <t>https://drive.google.com/open?id=1IOjpr6M-osGDJ2kVCSi1XnZO8YX_3rMI</t>
  </si>
  <si>
    <t>https://drive.google.com/open?id=1AE9w786jhjZgE2Nc116kva7VgvJ-vYm5</t>
  </si>
  <si>
    <t>https://drive.google.com/open?id=1b-Q1bNEZ4GdDs9Mf--aJxsNbjcU11I6B</t>
  </si>
  <si>
    <t>https://drive.google.com/open?id=1EhthwIt0B5PWXhX3JtrmovtibpJez1l0</t>
  </si>
  <si>
    <t>https://drive.google.com/open?id=1SRJov1wdRYbFK5eGVdom8WUWWIKymBIR</t>
  </si>
  <si>
    <t>https://drive.google.com/open?id=1XhfcS9bmFrcI0htGL1dd3qXUl475UGts</t>
  </si>
  <si>
    <t>https://drive.google.com/open?id=1hBdLa4XAygwgdY1PQkI07DYONYPuKWfy</t>
  </si>
  <si>
    <t>https://drive.google.com/open?id=1EKPzQgLQNZuU35DNxm1lsYg2Bs5fr2Z9</t>
  </si>
  <si>
    <t>RINA OCTAVIA</t>
  </si>
  <si>
    <t>YUNIATI</t>
  </si>
  <si>
    <t>3207175006930005</t>
  </si>
  <si>
    <t>3207164520900001</t>
  </si>
  <si>
    <t>NAUFALYUNIE193@GMAIL.COM</t>
  </si>
  <si>
    <t>5-Okt-1990</t>
  </si>
  <si>
    <t>081952681993</t>
  </si>
  <si>
    <t>ONGORINA3@GMAIL.COM</t>
  </si>
  <si>
    <t>PURBARATU</t>
  </si>
  <si>
    <t>085793355989</t>
  </si>
  <si>
    <t>DUSUN PANANJUNG RT 023/RW005 SINARTANJUNG PATARUMAN KOTA BANJAR</t>
  </si>
  <si>
    <t>165/56</t>
  </si>
  <si>
    <t>3207171402230003</t>
  </si>
  <si>
    <t>SAINAH</t>
  </si>
  <si>
    <t>3279020904190002</t>
  </si>
  <si>
    <t>IDA ZUBAEDAH</t>
  </si>
  <si>
    <t>SPG JUSAMI LEMINERAL</t>
  </si>
  <si>
    <t>946748878442000</t>
  </si>
  <si>
    <t>PERUM NADIN RESIDENCE 3 BLOK B NO 17 KOTA BANJAR</t>
  </si>
  <si>
    <t>CIMB NIAGA</t>
  </si>
  <si>
    <t xml:space="preserve">KOTA BANJAR </t>
  </si>
  <si>
    <t>https://drive.google.com/open?id=1O4wr_Z3do_KZIWXmhOBnGrR4Z7g73vHQ</t>
  </si>
  <si>
    <t>https://drive.google.com/open?id=1BN94azDcO-UE6ETFMTzzZvTmUga6eIrT</t>
  </si>
  <si>
    <t>https://drive.google.com/open?id=1TPXzUTmBHpjk0xyCCkAlYLDnI9lOllp-</t>
  </si>
  <si>
    <t>https://drive.google.com/open?id=1d7dz8OByLPY_Y9eLyn6TG_JIl2MmhkXx</t>
  </si>
  <si>
    <t>https://drive.google.com/open?id=1edEKH7r0Iy2iHhunYmpvErj4Wu80BURI</t>
  </si>
  <si>
    <t>https://drive.google.com/open?id=1zkhrZXCLiBAAuJiIsKxePIqjFS5AGwae</t>
  </si>
  <si>
    <t>https://drive.google.com/open?id=1FVd8fTgSLEWY8p9QB-n7onmxq_KwIAeb</t>
  </si>
  <si>
    <t>https://drive.google.com/open?id=1wLyOp6JOrQbRT9CjszxTa_jjm8BTBwsN</t>
  </si>
  <si>
    <t>https://drive.google.com/open?id=1iLNNbpEhgLf4kCTqDzu5GEcfryxlpiiK</t>
  </si>
  <si>
    <t>HANNA AFTINA LISTYANI</t>
  </si>
  <si>
    <t>3207014202930001</t>
  </si>
  <si>
    <t>https://drive.google.com/open?id=1HgASAAmYlf-PXC8MEPIOUaR7Neol4emA</t>
  </si>
  <si>
    <t>https://drive.google.com/open?id=1l644E4JHH3TYTIWov4Vn24tAYpXPZi7K</t>
  </si>
  <si>
    <t>HANNAAFTINALISTYANI@GMAIL.COM</t>
  </si>
  <si>
    <t>https://drive.google.com/open?id=1l8mUlF_v_NoEJtZ77u7ZjSkx1wto8ufl</t>
  </si>
  <si>
    <t>081321972179</t>
  </si>
  <si>
    <t>https://drive.google.com/open?id=1gwLnOam-UFcP1B_fGJOVyga3W-0ST4n5</t>
  </si>
  <si>
    <t>YOGYA BANJAR*</t>
  </si>
  <si>
    <t>ISMI NURBAITI</t>
  </si>
  <si>
    <t>3279036512950001</t>
  </si>
  <si>
    <t>LINGKUNGAN BABAKAN RT3 RW5 SINDANGRASA CIAMIS</t>
  </si>
  <si>
    <t>BEKASI</t>
  </si>
  <si>
    <t>25-Des-1995</t>
  </si>
  <si>
    <t>154/54</t>
  </si>
  <si>
    <t>ISMINURBAITI8@GMAIL.COM</t>
  </si>
  <si>
    <t>08987796662</t>
  </si>
  <si>
    <t>13359302000245</t>
  </si>
  <si>
    <t>3207013112130021</t>
  </si>
  <si>
    <t>GUDANG 001/001 KEL. HEGARSARI KEC. PATARUMAN KOTA. BANJAR</t>
  </si>
  <si>
    <t>ERNAWATI PF</t>
  </si>
  <si>
    <t>SPG REGULER TEH ORGANA STAY YOGYA CIAMIS</t>
  </si>
  <si>
    <t>160/55</t>
  </si>
  <si>
    <t>KOTA BANJAR</t>
  </si>
  <si>
    <t>3279021310160006</t>
  </si>
  <si>
    <t>NANA RATNA KOMALA</t>
  </si>
  <si>
    <t>CV. DERA _ SALES PROMOTION GIRL _ 2019 - 2020
AMY TRAVEL _ MARKETING _ 2020 - 2024</t>
  </si>
  <si>
    <t>https://drive.google.com/open?id=1xWRX-ghvBW2Vu_4KhpAUb0Inuvv0zXWK</t>
  </si>
  <si>
    <t>https://drive.google.com/open?id=13EWzV-bN71P3UA2d31Ws-rJst2VIYZwW</t>
  </si>
  <si>
    <t>BANJAR</t>
  </si>
  <si>
    <t>https://drive.google.com/open?id=1Snbpat-fNaoqbIYb4WVk9xCi64VtF86V</t>
  </si>
  <si>
    <t>https://drive.google.com/open?id=1bA7tPZsquf1JRyBnSFLJWlf1h70iqnzd</t>
  </si>
  <si>
    <t>https://drive.google.com/open?id=1w17EI12DYkgx1ZuJxYcntojRmnoNq4gK</t>
  </si>
  <si>
    <t>https://drive.google.com/open?id=1ovX4D3hYiBR86YXgL7o7nBG_hnTdpq8d</t>
  </si>
  <si>
    <t>https://drive.google.com/open?id=1h6ROzEI74KiPkGXTMN1I_sAg3gDvOhCb</t>
  </si>
  <si>
    <t>https://drive.google.com/open?id=1Gef7D4eTzpwjZnAJ2H3CSWtthb8cKiOl</t>
  </si>
  <si>
    <t>https://drive.google.com/open?id=17xGIhpuVpFvH0nmREru2a_WuTwHDcV9B</t>
  </si>
  <si>
    <t>https://drive.google.com/open?id=1xy6zXVVWhWBapxT0ykpmNAfSC84WMHED</t>
  </si>
  <si>
    <t>https://drive.google.com/open?id=11Dnfa2_yyE376gpS1Uc57Ppb8guaYqIy</t>
  </si>
  <si>
    <t>https://drive.google.com/open?id=1-0zW9N3Qms922o9PiwamCvw7ceJ1y7eZ</t>
  </si>
  <si>
    <t>MEGA FITRIA</t>
  </si>
  <si>
    <t>https://drive.google.com/open?id=1fo2XQHeul9AybWZQSkGOvw7diSSlUAi9</t>
  </si>
  <si>
    <t>3278045204910003</t>
  </si>
  <si>
    <t>MEGAFITRIA9112@GMAIL.COM</t>
  </si>
  <si>
    <t>08121484095</t>
  </si>
  <si>
    <t xml:space="preserve">PAMIJAHAN RT 02/RW 02 , KELURAHAN SUKARINDIK, KECAMATAN BUNGURSARI KOTA TASIKMALAYA </t>
  </si>
  <si>
    <t>DIANA NILU WARDANI</t>
  </si>
  <si>
    <t>169/63</t>
  </si>
  <si>
    <t>3516136410950002</t>
  </si>
  <si>
    <t>MOJOKERTO</t>
  </si>
  <si>
    <t>13349104000070</t>
  </si>
  <si>
    <t>3278091803250003</t>
  </si>
  <si>
    <t>DIANAWARDANI055@GMAIL.COM</t>
  </si>
  <si>
    <t>APONG RUKMINI</t>
  </si>
  <si>
    <t>0895392238000</t>
  </si>
  <si>
    <t>SPG REGULER,SPG JSM, SPV</t>
  </si>
  <si>
    <t>LING TRENGGILIS RT.001/002 BLOOTO PRAJURIT KULON</t>
  </si>
  <si>
    <t>160/67</t>
  </si>
  <si>
    <t>1328,80005,129</t>
  </si>
  <si>
    <t xml:space="preserve">MEGA FITRIA </t>
  </si>
  <si>
    <t>3576011512230001</t>
  </si>
  <si>
    <t xml:space="preserve">PAMIJAHAN RT 02/ RW 02 , KELURAHAN SUKARINDIK, KECAMATAN BUNGURSARI KOTA TASIKMALAYA </t>
  </si>
  <si>
    <t>DJUANAH</t>
  </si>
  <si>
    <t>SPG IVENT</t>
  </si>
  <si>
    <t>KABUPATEN MOJOKERTO</t>
  </si>
  <si>
    <t>63.637.251.8-60200</t>
  </si>
  <si>
    <t>https://drive.google.com/open?id=1Nw1H3lZZVdkaOqWMGaZ7N-AW6XlhVREa</t>
  </si>
  <si>
    <t>https://drive.google.com/open?id=1Ee5oFK3CaCmRS798Vt9qzqMzzV55ko35</t>
  </si>
  <si>
    <t>https://drive.google.com/open?id=1OUxSmRy131ZRgjZoVr46qpBYsgOGCWmH</t>
  </si>
  <si>
    <t>BRANGKAL RT.02 RW.02 KEC.SOOKO KAB.MOJOKERTO</t>
  </si>
  <si>
    <t>https://drive.google.com/open?id=18tGWT6OyQl63yheOuZJMtuoWPrCIhHP0</t>
  </si>
  <si>
    <t>https://drive.google.com/open?id=16WU-N_CtKwWukYowmCwcsQNjTHT5Z8wp</t>
  </si>
  <si>
    <t>https://drive.google.com/open?id=1ZdZrXXy62iOJHHFXqUCnsKzEsnoI2FyK</t>
  </si>
  <si>
    <t>https://drive.google.com/open?id=1TkI8wQeo8scGCGVOuUSctE3ewwz9Sjzl</t>
  </si>
  <si>
    <t>https://drive.google.com/open?id=1E-AlWpB8BRwoHIW5h_HybhIffDpkngmk</t>
  </si>
  <si>
    <t>MITRA BUANA PASAR WETAN</t>
  </si>
  <si>
    <t>https://drive.google.com/open?id=1dbU-UoWgN8bC81TZDjgyKEjT0J_6WPOB</t>
  </si>
  <si>
    <t>https://drive.google.com/open?id=1PJfybGEfydGPk5TwSeNB8tHKLPffQeEi</t>
  </si>
  <si>
    <t>https://drive.google.com/open?id=1JoFRNJ-UlQlLdirX3pvwvYU3uHJ_O9N3</t>
  </si>
  <si>
    <t>SINTA NURLAELA</t>
  </si>
  <si>
    <t>https://drive.google.com/open?id=1FMfDm-0epVpRkV_YFwepznUgZzbzJxv4</t>
  </si>
  <si>
    <t>3204334711020012</t>
  </si>
  <si>
    <t>https://drive.google.com/open?id=1rl0_YWzLdv1_NiVhY4u6grAmY7MIeeYb</t>
  </si>
  <si>
    <t>SAN RIO</t>
  </si>
  <si>
    <t>SINTANURLAELA1102@GMAIL.COM</t>
  </si>
  <si>
    <t>WINDA</t>
  </si>
  <si>
    <t>081546865064</t>
  </si>
  <si>
    <t>KP. CANGKUANG, 01/05, BIRU, MAJALAYA, KAB. BANDUNG</t>
  </si>
  <si>
    <t>150/53</t>
  </si>
  <si>
    <t>ARUM ERISKA</t>
  </si>
  <si>
    <t>3204331203070014</t>
  </si>
  <si>
    <t>3576025504940005</t>
  </si>
  <si>
    <t>NUNUNG NURJANAH</t>
  </si>
  <si>
    <t>SPG POPOK MAMAMIA - JANUARI - NOVEMBER 2022</t>
  </si>
  <si>
    <t>ERISKAARUM15@GMAIL.COM</t>
  </si>
  <si>
    <t>089514505545</t>
  </si>
  <si>
    <t>MARGOSARI GG 3 NO 2 KOTA MOJOKERTO</t>
  </si>
  <si>
    <t>152/48</t>
  </si>
  <si>
    <t>3576020307230004</t>
  </si>
  <si>
    <t>MURJIAH</t>
  </si>
  <si>
    <t>SPG EVENT JSM SANRIO PRODUK SERASOFT , ROMANO</t>
  </si>
  <si>
    <t>https://drive.google.com/open?id=1DYeDYfMBYp6lRLk-tBaCFJduK0gPk9nb</t>
  </si>
  <si>
    <t>https://drive.google.com/open?id=12anpnKo2xk0SdhI3o0yd6-DjVX3ogoyQ</t>
  </si>
  <si>
    <t>https://drive.google.com/open?id=1cYepn0cPKAOwC-p0XgRTN-RluiAeKQuD</t>
  </si>
  <si>
    <t>https://drive.google.com/open?id=16R1EOlOrldlynZWfWt8H3LPb6h8U6ie2</t>
  </si>
  <si>
    <t>https://drive.google.com/open?id=1gCuk0qdMpRhiyIERQTjmwQHxcxGXlbLI</t>
  </si>
  <si>
    <t>MARGOSARI GG 3</t>
  </si>
  <si>
    <t>https://drive.google.com/open?id=1uASXfRDILq1X4UdF98kHtKdKaTIiN4GG</t>
  </si>
  <si>
    <t>https://drive.google.com/open?id=1DZHkfuGKPqdrIDdgBOdksvBl1cz8nFQb</t>
  </si>
  <si>
    <t>LANGGAN MAJALAYA</t>
  </si>
  <si>
    <t>https://drive.google.com/open?id=1Wkqx4syX4lHg3kCkhBfxGdoMF-_J4_F7</t>
  </si>
  <si>
    <t>https://drive.google.com/open?id=17JHkFIi-0a1VV80czsiubXakNhNkAu5s</t>
  </si>
  <si>
    <t>https://drive.google.com/open?id=13STjyn8r0mltMWkNLWy7GNe4u8vm5qy6</t>
  </si>
  <si>
    <t>https://drive.google.com/open?id=1JjLn8Kx8zt_4b3nOfQfNeazISBFk0YBz</t>
  </si>
  <si>
    <t>3204366505980003</t>
  </si>
  <si>
    <t>https://drive.google.com/open?id=1Iu4Y0ulDS8c0qXDPb9zN1flAD01bisJQ</t>
  </si>
  <si>
    <t>https://drive.google.com/open?id=1HRrlVzFZDSbiygNm3RvPH2er7uPGblEa</t>
  </si>
  <si>
    <t>MEISYAAYUANDREA25@GMAIL.COM</t>
  </si>
  <si>
    <t>081522833373</t>
  </si>
  <si>
    <t xml:space="preserve">KP CIKONYAL RT 02 RW 11 DESA LAMPEGAN KECAMATAN IBUN BANDUNG </t>
  </si>
  <si>
    <t>3204360309200012</t>
  </si>
  <si>
    <t>REVITA DWI ANGGRAENI</t>
  </si>
  <si>
    <t>WAWANG NAWANGSIH</t>
  </si>
  <si>
    <t>3576014703960002</t>
  </si>
  <si>
    <t>2 TAHUN SPG REGULER PT TEMPO, SELANJUTNYA MENJALANKAN SPG EVENT HINGGA SAAT INI</t>
  </si>
  <si>
    <t>KUTAI</t>
  </si>
  <si>
    <t>NANDOPITAA@GMAIL.COM</t>
  </si>
  <si>
    <t>085960354602</t>
  </si>
  <si>
    <t xml:space="preserve">MEISYA AYU ANDREANI </t>
  </si>
  <si>
    <t>MIJI GG 1 NO 8</t>
  </si>
  <si>
    <t>3576032307250002</t>
  </si>
  <si>
    <t>LAELI SOLICHMATUS</t>
  </si>
  <si>
    <t>SPG EVENT WINGS, SAMSUNG, MAYORA</t>
  </si>
  <si>
    <t>https://drive.google.com/open?id=1wruxcEE_0OpmLNfKgtUVdaxeHgacZjrC</t>
  </si>
  <si>
    <t>https://drive.google.com/open?id=1QZg2YIALOLJfnkst307HvNFCcOQNi3J3</t>
  </si>
  <si>
    <t>https://drive.google.com/open?id=100sgUE23VSYAVjVUfcW5LEh48lFrqaNZ</t>
  </si>
  <si>
    <t>https://drive.google.com/open?id=1ataW-zZBGBDX-yMOI0Hyj9vXqsK3YEJs</t>
  </si>
  <si>
    <t>https://drive.google.com/open?id=1BsudNk90AK8McHF65CbM7-KjsS7pEh4Z</t>
  </si>
  <si>
    <t>https://drive.google.com/open?id=1XTBp4MfCeU6rrtBVdq8nYKK-ez4nAXKJ</t>
  </si>
  <si>
    <t>https://drive.google.com/open?id=1fqCVaKnPmC-ZMjgIj2KA_xaZ62ZUeFqD</t>
  </si>
  <si>
    <t>KOTA MOJOKERTO</t>
  </si>
  <si>
    <t>https://drive.google.com/open?id=1CNB7WXbFHkHtfcKuMMxoXIwH4CR38_Kd</t>
  </si>
  <si>
    <t>https://drive.google.com/open?id=1B7KNLsXvyqhnzmBSkoXM_G_Fxjg0YLjy</t>
  </si>
  <si>
    <t>https://drive.google.com/open?id=1FOwCm1ewO7beVX1h3h-hsBT4wftCtyBf</t>
  </si>
  <si>
    <t>CATURPRASTYO14@GMAIL.COM</t>
  </si>
  <si>
    <t>088801808878</t>
  </si>
  <si>
    <t>https://drive.google.com/open?id=1G-kq13rKw5Zolio3RtL_zKnLEMtv7faL</t>
  </si>
  <si>
    <t xml:space="preserve">JALAN LELE RT 05/01 NO 16 KALISAPU SLAWI </t>
  </si>
  <si>
    <t>https://drive.google.com/open?id=1ZW71NXd56j598rFgwJicatinCMniVNOO</t>
  </si>
  <si>
    <t>https://drive.google.com/open?id=1qpG3PbAJrQarj7uhcL7-w1_ciGtqQHyP</t>
  </si>
  <si>
    <t>RIA SWALAYAN</t>
  </si>
  <si>
    <t>3328100707140013</t>
  </si>
  <si>
    <t>SRI REJEKI</t>
  </si>
  <si>
    <t>1. PT GUNUNG SLAMAT - SPG - 2011-2013
2. PT. PTI - BA - 2015-2016
3. PT. ITS - SPG - 2019-2021
4. PT. BIMA - SPG - 2014-2015</t>
  </si>
  <si>
    <t xml:space="preserve">NUR LAILIYAH </t>
  </si>
  <si>
    <t>3516134708910002</t>
  </si>
  <si>
    <t xml:space="preserve">MOJOKERTO </t>
  </si>
  <si>
    <t>JALAN LELE RT 05/01 KALISAPU SLAWI</t>
  </si>
  <si>
    <t>NASYWANASYWAABELIAAZZAHRA@GMAIL.COM</t>
  </si>
  <si>
    <t>087729770204</t>
  </si>
  <si>
    <t xml:space="preserve">NGABAR JETIS MOJOKERTO </t>
  </si>
  <si>
    <t>158/55</t>
  </si>
  <si>
    <t>https://drive.google.com/open?id=1VDJfkXzP3c_4poTaOZ4HJH8myTvX-5-c</t>
  </si>
  <si>
    <t>3516160612120002</t>
  </si>
  <si>
    <t>https://drive.google.com/open?id=19-oTe2bN7g-bXZevwQs0H4C_N0gB1BZW</t>
  </si>
  <si>
    <t xml:space="preserve">SUKARSIH </t>
  </si>
  <si>
    <t>SPG BLACKMORES MOTORIS MAYORA SPG FRISION FLAG</t>
  </si>
  <si>
    <t xml:space="preserve">GG TIMBANGAN LAMA SOOKO MOJOKERTO </t>
  </si>
  <si>
    <t>https://drive.google.com/open?id=1-C1qVwhtpqkxLSGgSs2xPs3_P8fUq3ee</t>
  </si>
  <si>
    <t>https://drive.google.com/open?id=13-9rzX-fgYh8VoxMiFw1hmUE0VupThVR</t>
  </si>
  <si>
    <t>https://drive.google.com/open?id=1LfGuryQc7kGSxht7tObcizDCUH2yE7iZ</t>
  </si>
  <si>
    <t>https://drive.google.com/open?id=1hklijmAKkfltMKmjvPTyyPabKHu5LHir</t>
  </si>
  <si>
    <t>https://drive.google.com/open?id=1OmYV7c5uPE3jhssJ0b1Xu8txweCnnATt</t>
  </si>
  <si>
    <t>https://drive.google.com/open?id=1cdmVZkIg2WStovpdN0brDdbA9k_PUVzq</t>
  </si>
  <si>
    <t>NAFISAH RIDHOTI</t>
  </si>
  <si>
    <t>3575014611940002</t>
  </si>
  <si>
    <t>PASURUAN</t>
  </si>
  <si>
    <t>ZELLORAMAKKIYAH@GMAIL.COM</t>
  </si>
  <si>
    <t>081216144933</t>
  </si>
  <si>
    <t>JALAN SULAWESI GG. 17 NO. 46 RT. 01 RW. 05 KEL. TRAJENG KEC. PANGGUNGREJO KOTA PASURUAN</t>
  </si>
  <si>
    <t>3575040803210004</t>
  </si>
  <si>
    <t>NUR SUROYA</t>
  </si>
  <si>
    <t xml:space="preserve">PT. DINAMIKA DAYA SEGARA </t>
  </si>
  <si>
    <t>KABUPATEN PASURUAN</t>
  </si>
  <si>
    <t>https://drive.google.com/open?id=1ydgqIKoclgfHAV5it-NFe3CzJfqQXBGd</t>
  </si>
  <si>
    <t>https://drive.google.com/open?id=1OiMxMMRehw_VBNsb9lcQ9oowLLNIKcy_</t>
  </si>
  <si>
    <t xml:space="preserve">JALAN SULAWESI GG. 17 NO. 46 RT. 01 RW. 05 KEL. TRAJENG KEC. PANGGUNGREJO </t>
  </si>
  <si>
    <t>https://drive.google.com/open?id=1ZtjRsivIihIO5xv5tLErYTcE_aVMgmCM</t>
  </si>
  <si>
    <t>KOTA PASURUAN</t>
  </si>
  <si>
    <t>https://drive.google.com/open?id=1E_mlWxL_PzrtzScMNd5pUM3ZSWVlrVBX</t>
  </si>
  <si>
    <t>https://drive.google.com/open?id=1a-kI7QY0QHSimsr123LCycY3b8aW0_p0</t>
  </si>
  <si>
    <t>https://drive.google.com/open?id=1xhU7HMlaLdGilcbBqA2cQMLDhISc-6c4</t>
  </si>
  <si>
    <t>https://drive.google.com/open?id=1AsC-ewa_j1QtJ-3lUA4lwENlwC-PuncA</t>
  </si>
  <si>
    <t>https://drive.google.com/open?id=15pbODK1V1ex7XRyo0w4MLIYffoChcpGk</t>
  </si>
  <si>
    <t>TUTI NURHASANAH</t>
  </si>
  <si>
    <t>https://drive.google.com/open?id=1eiZApl5Vs51yrXsqWm_3lFKGao2ICXnK</t>
  </si>
  <si>
    <t>3213266511950006</t>
  </si>
  <si>
    <t>https://drive.google.com/open?id=1QDD2UbYtMkeIic_OY4_y45Oxev1Z57Th</t>
  </si>
  <si>
    <t>SUBANG</t>
  </si>
  <si>
    <t>https://drive.google.com/open?id=1UxfnjH9siKB2aPHcN_SnSUbVfHM_bgcZ</t>
  </si>
  <si>
    <t>NURIADRIAN60@GMAIL.COM</t>
  </si>
  <si>
    <t>SANDANG AYU 2</t>
  </si>
  <si>
    <t>085797449188</t>
  </si>
  <si>
    <t>KP TANJUNGSARI RT 002 RW 007 SINDANGSARI,KASOMALANG SUBANG</t>
  </si>
  <si>
    <t>160/65</t>
  </si>
  <si>
    <t>3213121703090287</t>
  </si>
  <si>
    <t xml:space="preserve">LILIK NAZLIA FIDAROINI </t>
  </si>
  <si>
    <t>UUN UNAYAH</t>
  </si>
  <si>
    <t>3575015806990003</t>
  </si>
  <si>
    <t>PT DIMENSI CIPTA MANDIRI (SPG)
PT SAVORIA (SPG)
PT DUA KELINCI(SPG)</t>
  </si>
  <si>
    <t xml:space="preserve">PASURUAN </t>
  </si>
  <si>
    <t>LNAZLIA99@GMAIL.COM</t>
  </si>
  <si>
    <t>081216900824</t>
  </si>
  <si>
    <t>KABUPATEN SUBANG</t>
  </si>
  <si>
    <t xml:space="preserve">JL HANGTUAH VII RT02 RW02 TAMBAAN PANGGUNGREJO KOTA PASURUAN </t>
  </si>
  <si>
    <t>3514201806190007</t>
  </si>
  <si>
    <t>JL PEJUANG 45 BLOK SUKAHAYU,CIGADUNG SUBANG</t>
  </si>
  <si>
    <t>SOFIYAH</t>
  </si>
  <si>
    <t>PT WINGS SURYA - SPG JUSAMI</t>
  </si>
  <si>
    <t>https://drive.google.com/open?id=1VETjpraE3VItyvgz3nDJYBXCxJWvzVTK</t>
  </si>
  <si>
    <t>https://drive.google.com/open?id=1AxGPbAdu57aI8-1ZBoHiuet26hAXAIW6</t>
  </si>
  <si>
    <t>https://drive.google.com/open?id=1FZTBRX40wQsEpbfYmVSwkQyqsJGudakf</t>
  </si>
  <si>
    <t>https://drive.google.com/open?id=1Sr27vmf5yvSwGqltZwpOuu7IBxGwzt4-</t>
  </si>
  <si>
    <t>https://drive.google.com/open?id=1F-rzt8stWS5vHM3hBSrj0vgr_7Obpnl7</t>
  </si>
  <si>
    <t>https://drive.google.com/open?id=1LGCmjZG5q80_U1KvWQgso61R7GTB9nRd</t>
  </si>
  <si>
    <t>https://drive.google.com/open?id=1fk1GvPqsEiMwKnO7cYpBnx2qedRvn5TZ</t>
  </si>
  <si>
    <t>https://drive.google.com/open?id=1fo-Na4I1oioDlDnP2fOakv6-tcXx7sXs</t>
  </si>
  <si>
    <t>KRISNA AYU WULANDARI</t>
  </si>
  <si>
    <t>3302164502980001</t>
  </si>
  <si>
    <t xml:space="preserve">BANYUMAS </t>
  </si>
  <si>
    <t>TRISNAAYU133@GMAIL.COM</t>
  </si>
  <si>
    <t>+62 878-4326-5467</t>
  </si>
  <si>
    <t xml:space="preserve">KALICUPAKLOR RT 03 RW 01 KEC KALIBAGOR,BANYUMAS </t>
  </si>
  <si>
    <t>3302100809210006</t>
  </si>
  <si>
    <t xml:space="preserve">PARMUNI </t>
  </si>
  <si>
    <t xml:space="preserve">EVENT WINGS,KAPAL API,JIYOSKINS,SUSU DANCOW,SARDEN BOTAN </t>
  </si>
  <si>
    <t>https://drive.google.com/open?id=1kiTueXcrhmfQTn9Jur7NHSv1VQdlwauw</t>
  </si>
  <si>
    <t>https://drive.google.com/open?id=1Ccr_FOOWax0nKdtOo7474L1qAFpIc6iV</t>
  </si>
  <si>
    <t>https://drive.google.com/open?id=1ywCeddnSvsbOtySF80zinuptv4UBdPFW</t>
  </si>
  <si>
    <t>https://drive.google.com/open?id=11Ll10R2vis-pst34xlR-cuau0CURL_Az</t>
  </si>
  <si>
    <t>https://drive.google.com/open?id=11Ry0CIIk26Le6dhQFkaXpp-MSk3nJ3Pi</t>
  </si>
  <si>
    <t xml:space="preserve">KALICUPAKLOR RT 03 RW 01 KEC KALIBAGOR BANYUMAS </t>
  </si>
  <si>
    <t>YOGYA GRAND SUBANG</t>
  </si>
  <si>
    <t>https://drive.google.com/open?id=1rBs-kLN-ZXrEBhuXGJKjuhi8NOqtjGwT</t>
  </si>
  <si>
    <t>TITIN NURJANAH</t>
  </si>
  <si>
    <t>3213075406960003</t>
  </si>
  <si>
    <t>https://drive.google.com/open?id=1qMoDBTI8LGZ6JCpPcA2S8FWlAGbDcTel</t>
  </si>
  <si>
    <t xml:space="preserve">SUBANG </t>
  </si>
  <si>
    <t>https://drive.google.com/open?id=1IyxnQ-5m8lTHU5gAyEpia6Fglh2AT6zI</t>
  </si>
  <si>
    <t>TITINNURJANAH731@GMAIL.COM</t>
  </si>
  <si>
    <t>https://drive.google.com/open?id=1P_MdNhI1lMjO6h_y01B7B921F85p4ldV</t>
  </si>
  <si>
    <t>082127757887</t>
  </si>
  <si>
    <t>https://drive.google.com/open?id=1NABPOo6jm_22f1_EKl8TdA2Fmj22UvQh</t>
  </si>
  <si>
    <t>RAWABADAK GANG BUAH RT 106/ RW 030</t>
  </si>
  <si>
    <t>https://drive.google.com/open?id=1s13ezSJAjpCQrSGWBbakVpATmQnZeZAZ</t>
  </si>
  <si>
    <t>RITA A PURWOKERTO</t>
  </si>
  <si>
    <t>3213032802190006</t>
  </si>
  <si>
    <t xml:space="preserve">KURNIASIH </t>
  </si>
  <si>
    <t xml:space="preserve">PT TKG TAEKWANG, PT CIPTA MANDIRI, SPG EVENT </t>
  </si>
  <si>
    <t>ERSA BENING NAWANGSARI</t>
  </si>
  <si>
    <t>3302126103000001</t>
  </si>
  <si>
    <t>BANYUMAS</t>
  </si>
  <si>
    <t xml:space="preserve">TITIN NURJANAH </t>
  </si>
  <si>
    <t>ERSABENING8@GMAIL.COM</t>
  </si>
  <si>
    <t>085802551170</t>
  </si>
  <si>
    <t>KEDUNGBANTENG, RT 02/ RW 04</t>
  </si>
  <si>
    <t xml:space="preserve">JL CERELEK 1 RT 11 RW 05 </t>
  </si>
  <si>
    <t>155/48</t>
  </si>
  <si>
    <t>3302232812210001</t>
  </si>
  <si>
    <t>SUTARNI</t>
  </si>
  <si>
    <t>https://drive.google.com/open?id=1M04A4L0ZHQGG51xzVzRVLwYaYWapXufd</t>
  </si>
  <si>
    <t>SPG EVENT WINGS
SPG EVENT PT PANGAN LESTARI</t>
  </si>
  <si>
    <t>https://drive.google.com/open?id=19M8eVDGuaXrNVNUxfDLga71dt8tlkxEQ</t>
  </si>
  <si>
    <t>https://drive.google.com/open?id=1n9lZ-Ylm89kag5fjaIl4uenT5zm5Suwf</t>
  </si>
  <si>
    <t>https://drive.google.com/open?id=1r2heFyoXZMTjG_-UU789y8NobQGH4j9O</t>
  </si>
  <si>
    <t>https://drive.google.com/open?id=1IiENy8FDX0HAr2HVIHvvk6Z1b_hwwE5S</t>
  </si>
  <si>
    <t>https://drive.google.com/open?id=1ZUqRfnuLfb28W6j9WX-Zmjxe5F8M6H07</t>
  </si>
  <si>
    <t>https://drive.google.com/open?id=1ZismCe_Q7lUT3PokTn7XCIs0sRnLuzLA</t>
  </si>
  <si>
    <t>RISKA APRILIANI</t>
  </si>
  <si>
    <t>https://drive.google.com/open?id=1gPA5FBjMcro5vCpFp8erv1J-0KdmULpr</t>
  </si>
  <si>
    <t>3278026904960008</t>
  </si>
  <si>
    <t>https://drive.google.com/open?id=1vmTtSaPn9Sknd_oZ4XmJq37QR9ng9yCb</t>
  </si>
  <si>
    <t>RISKATASIK12@GMAIL.COM</t>
  </si>
  <si>
    <t>https://drive.google.com/open?id=1F_zTYWZhkbdrxbu0BXE9fsD6eoOkgmdq</t>
  </si>
  <si>
    <t>089635874914</t>
  </si>
  <si>
    <t>BOJONG KAUM  RT 07/011</t>
  </si>
  <si>
    <t>https://drive.google.com/open?id=1z9N__WwbMW2_lyOQTFz5l4wI5Y2hIYj6</t>
  </si>
  <si>
    <t>https://drive.google.com/open?id=1hro_QpyRPxdIXyGdVty3_rXfb7Ld71nJ</t>
  </si>
  <si>
    <t>155/46</t>
  </si>
  <si>
    <t>https://drive.google.com/open?id=15CSYTaKu-ew-hJHeITnZFrGIst1Fn896</t>
  </si>
  <si>
    <t>123456789012</t>
  </si>
  <si>
    <t>3278020608190008</t>
  </si>
  <si>
    <t>SUPARTI</t>
  </si>
  <si>
    <t>SPG FASHION SELAMA 12THN</t>
  </si>
  <si>
    <t>8110265742500</t>
  </si>
  <si>
    <t>RINI NUR ASIYAH</t>
  </si>
  <si>
    <t>3307087112030008</t>
  </si>
  <si>
    <t>WONOSOBO</t>
  </si>
  <si>
    <t>BOJONG KAUM</t>
  </si>
  <si>
    <t>RINIASYH@GMAIL.COM</t>
  </si>
  <si>
    <t>083136735577</t>
  </si>
  <si>
    <t xml:space="preserve">BINANGUN WRINGINANOM </t>
  </si>
  <si>
    <t>https://drive.google.com/open?id=1WrQvverajQb86EaVfbLWofwmtiXAgCon</t>
  </si>
  <si>
    <t>159/59</t>
  </si>
  <si>
    <t>https://drive.google.com/open?id=1O7rJ6rQbx5eGYcZHO7jkDxrDacIP0x5C</t>
  </si>
  <si>
    <t>https://drive.google.com/open?id=1f1BpBaPyAQY0sXKS57Gj3Jj1WkX9E-h9</t>
  </si>
  <si>
    <t>3307081501080540</t>
  </si>
  <si>
    <t>https://drive.google.com/open?id=198udsLGNOmhz8RCgR8fcdf7SZgzlGfAR</t>
  </si>
  <si>
    <t>SOPIAH</t>
  </si>
  <si>
    <t>https://drive.google.com/open?id=1gsGoooJpG2ojKd9CtQ5Y4jTznJxusW61</t>
  </si>
  <si>
    <t>https://drive.google.com/open?id=1leTEyvRpqwbTxB_TULZvknFRxiKq3ijA</t>
  </si>
  <si>
    <t>PRAMUNIAGA DAN KASIR 2 TAHUN TOKO CITRA, BA LUXCRIME 1 TAHUN, BA YOU 9 BULAN, BA EVENT G2G 1 BULAN, EVENT MOTORIS SPG</t>
  </si>
  <si>
    <t>https://drive.google.com/open?id=1EpzQNkhaJeapTlHITNsljTOpHanSeMBJ</t>
  </si>
  <si>
    <t>KABUPATEN WONOSOBO</t>
  </si>
  <si>
    <t xml:space="preserve">RINI NUR ASIYAH </t>
  </si>
  <si>
    <t>7-Agu-26</t>
  </si>
  <si>
    <t>LUTFI OKITA RIZQI</t>
  </si>
  <si>
    <t>3302266010970002</t>
  </si>
  <si>
    <t>FIOKITARIZQI@GMAIL.COM</t>
  </si>
  <si>
    <t>081542621266</t>
  </si>
  <si>
    <t>ARCAWINANGUN RT 01/ 03</t>
  </si>
  <si>
    <t>33022661003210003</t>
  </si>
  <si>
    <t>LECHA TUSILAH</t>
  </si>
  <si>
    <t>https://drive.google.com/open?id=1mNPYBMBsfyBDm5Au3tj_yyZ6yk97mnwV</t>
  </si>
  <si>
    <t>SPG EVENT INDOMARCO,WINGS,UNILEVER</t>
  </si>
  <si>
    <t>https://drive.google.com/open?id=1qNTGncNI9HRa_dpf8quBrWsXAaPDgIoo</t>
  </si>
  <si>
    <t>https://drive.google.com/open?id=1wNjHS8zOMcGx1bGPx4Dj4J90hXZFy2br</t>
  </si>
  <si>
    <t>https://drive.google.com/open?id=1Q11owVgfIY43ZToWCw4mLwcXqFCYIoVv</t>
  </si>
  <si>
    <t>3580770052</t>
  </si>
  <si>
    <t>https://drive.google.com/open?id=1RJxyGx7UY64_XxoTYlYUDSfUrWkVLTAC</t>
  </si>
  <si>
    <t>LEDUG</t>
  </si>
  <si>
    <t>https://drive.google.com/open?id=1sOyaosVmYcYSGC1ER2kI6jL2MjZQqxYl</t>
  </si>
  <si>
    <t>KEMBARAN</t>
  </si>
  <si>
    <t>RITA D WONOSOBO</t>
  </si>
  <si>
    <t>https://drive.google.com/open?id=1u7DethxOdWR8rP9MJmEq19cHdHVYZGaM</t>
  </si>
  <si>
    <t>https://drive.google.com/open?id=1vT1T22MyO7zr0UzC_cz3nW2du00zsef2</t>
  </si>
  <si>
    <t>https://drive.google.com/open?id=1JKa2-ToRVe_t2vu8B3EhpaiwGRT-ODoZ</t>
  </si>
  <si>
    <t>META WASIATI</t>
  </si>
  <si>
    <t>https://drive.google.com/open?id=1pNU6Xo-vSLr9ig7NuLtIUMEP0Ia3c9Ej</t>
  </si>
  <si>
    <t>3302276105970002</t>
  </si>
  <si>
    <t>https://drive.google.com/open?id=1ao_84nm4mGM2BAvFb7ZlJKspXBHEvjtr</t>
  </si>
  <si>
    <t>https://drive.google.com/open?id=1YRhHEllkLDLgXvLzv3tlWs3XtCefv8DZ</t>
  </si>
  <si>
    <t>https://drive.google.com/open?id=1FLnbcu5rI9nJdbon7ZtuwHPAGMCBH8wA</t>
  </si>
  <si>
    <t>METAWASIATI2@GMAIL.COM</t>
  </si>
  <si>
    <t>085656217380</t>
  </si>
  <si>
    <t>JALAN SETRAWIJAYA RT 4/2 KARANGLEWAS LOR</t>
  </si>
  <si>
    <t>159/56</t>
  </si>
  <si>
    <t>3302252206200001</t>
  </si>
  <si>
    <t>SURYATI</t>
  </si>
  <si>
    <t>DIANA TRISNA SARI</t>
  </si>
  <si>
    <t>3307095108920005</t>
  </si>
  <si>
    <t>RITA SOKARAJA-KASIR-JUNI2015-DESEMBER 2017
RITA ISOLA-KASIR-DESEMBER2018-FEBRUARI2020
PT.WINGS SURYA - SPG BABY HAPPY-OKTOBER2022-JULI2023
PT.LMI -SPG MAKUKU- JULI2023-MEI2026
PT.RBW - SPG EVENT LEXUS- JUNI-JUNI 2026</t>
  </si>
  <si>
    <t>DIANATRISNASARI02@GMAIL.COM</t>
  </si>
  <si>
    <t>0882007616887</t>
  </si>
  <si>
    <t>POJOK KECAMATAN RT/RW 02/004 WONOSOBO JAWA TENGGAH</t>
  </si>
  <si>
    <t>155/53</t>
  </si>
  <si>
    <t>6729826282992</t>
  </si>
  <si>
    <t>3307090708120001</t>
  </si>
  <si>
    <t>PONIAH</t>
  </si>
  <si>
    <t xml:space="preserve">BA HUMPHREY
BA AZZARINE
BA QL COSMETIK 
BA SATTO
BA KELAYA
EVENT TEH PUCUK 
EVENT MIE SEDAP
EVENT BEAR BEND
</t>
  </si>
  <si>
    <t>KABUPATEN BANJARNEGARA</t>
  </si>
  <si>
    <t>https://drive.google.com/open?id=19xmc02NwTYXrZYS9MFfffDFjWN1CZdnL</t>
  </si>
  <si>
    <t>2390850975</t>
  </si>
  <si>
    <t>https://drive.google.com/open?id=1zJ1uRjN56n-q0DM6M_RDYAdDh_X-ClTe</t>
  </si>
  <si>
    <t>https://drive.google.com/open?id=1Gu9TSBl7td_la3H1Nwrh92PdIr76RB3d</t>
  </si>
  <si>
    <t>https://drive.google.com/open?id=1a9DmI6KYLoSYM3tBL1mlaeb14GaM7Y7T</t>
  </si>
  <si>
    <t>KEJIWAN WONOSOBO</t>
  </si>
  <si>
    <t>https://drive.google.com/open?id=1OlMRW38SRoEi8Vo33nwADFxqJt6oC47_</t>
  </si>
  <si>
    <t>https://drive.google.com/open?id=1pohUh7IcGs1RD207bpDJLjcuW6xUofc0</t>
  </si>
  <si>
    <t>RITA SUPERMALL</t>
  </si>
  <si>
    <t>https://drive.google.com/open?id=1ik2-Xo8bXW90WdFphJ-fU9BMkoxLJg_K</t>
  </si>
  <si>
    <t>https://drive.google.com/open?id=1dMdPdAtKDZElIQH5GjcVB34lkeJYYw1O</t>
  </si>
  <si>
    <t>https://drive.google.com/open?id=1NrQbBQ6et8MWE6ILvvBYMW8ATt3yeypY</t>
  </si>
  <si>
    <t>NUR FATIMAH MUCHRIYANI</t>
  </si>
  <si>
    <t>https://drive.google.com/open?id=13WAC-blahiTU-KOtz17s0rJZneq_YZBF</t>
  </si>
  <si>
    <t>3307095704020003</t>
  </si>
  <si>
    <t>https://drive.google.com/open?id=1MmTIx7zkiz8jCzy1CB1Bj58XNM3tnRNC</t>
  </si>
  <si>
    <t>https://drive.google.com/open?id=1EQg5wx1QbU3uTiW-RAF13qtGCRmL7amc</t>
  </si>
  <si>
    <t>https://drive.google.com/open?id=1LbUHG_fYsF1roke-Yx6FgerbePnxSgJg</t>
  </si>
  <si>
    <t>NURFATIMAHMUCHRIYANI52@GMAIL.COM</t>
  </si>
  <si>
    <t>08817048288</t>
  </si>
  <si>
    <t>CV TRIO JAYA(M2)</t>
  </si>
  <si>
    <t>SINGKIR RT 01 RW 07 JARAKSARI WONOSOBO</t>
  </si>
  <si>
    <t>163/57</t>
  </si>
  <si>
    <t>ELA KOMALASARI</t>
  </si>
  <si>
    <t>3307096805970005</t>
  </si>
  <si>
    <t>KHOTIMAH</t>
  </si>
  <si>
    <t>PT RITA RITELINDO - PRAMUNIAGA - JANUARI 2023 SAMPAI MEI 2026 DAN PT ALFARIA TRIJAYA TBK - CREW STORE - MEI SAMPAI DESEMBER 2022</t>
  </si>
  <si>
    <t>ELLAKOMALLA0@GMAIL.COM</t>
  </si>
  <si>
    <t>088221553649</t>
  </si>
  <si>
    <t>KASIRAN 02/06</t>
  </si>
  <si>
    <t>3307090408220008</t>
  </si>
  <si>
    <t>SAKIYEM</t>
  </si>
  <si>
    <t>6043673053300</t>
  </si>
  <si>
    <t>https://drive.google.com/open?id=1dK3f86bi5wciTd6JuvRWclxHtVAoC7M4</t>
  </si>
  <si>
    <t>1850006760257</t>
  </si>
  <si>
    <t>https://drive.google.com/open?id=16ydrdHIuAmTkiiaa2uxAPND3FIgWRFbC</t>
  </si>
  <si>
    <t>https://drive.google.com/open?id=1fTT1eaZrHP6ut02lviqK2TI4sNeP8yCH</t>
  </si>
  <si>
    <t>https://drive.google.com/open?id=132JMpHN8jMTcUdNBU0UFcepaglJYHLVi</t>
  </si>
  <si>
    <t>https://drive.google.com/open?id=1J-ydPDEflkVs6OcAOgk7gHqEgiX4nM2w</t>
  </si>
  <si>
    <t>https://drive.google.com/open?id=1dALZsvAzBRa2uXKI-WGnAWWyiE7OABdw</t>
  </si>
  <si>
    <t>https://drive.google.com/open?id=12QJXk8PZPDVirMrt8aw6XXTrngDh2okD</t>
  </si>
  <si>
    <t xml:space="preserve">NABIILAH IFFATUL KHASANAH </t>
  </si>
  <si>
    <t>3302244410980001</t>
  </si>
  <si>
    <t xml:space="preserve">PURWOKERTO </t>
  </si>
  <si>
    <t>NABIILAHIFFATUL04@GMAIL.COM</t>
  </si>
  <si>
    <t>089634263985</t>
  </si>
  <si>
    <t xml:space="preserve">JL. PESANTREN RT 04 RW 05 BULAKAN DESA LANGGONGSARI CILONGOK </t>
  </si>
  <si>
    <t>163/53</t>
  </si>
  <si>
    <t>3302260208220002</t>
  </si>
  <si>
    <t>SUYARTI</t>
  </si>
  <si>
    <t xml:space="preserve">SPG RELULER PT. UNICHARM INDONESIA </t>
  </si>
  <si>
    <t xml:space="preserve">DESA LANGGONGSARI RT 04 RW 07 GRUMBUL PLIKEN </t>
  </si>
  <si>
    <t>https://drive.google.com/open?id=1z2qu8Y_2OgwhE2UbzitmwCLXB1p4b8KE</t>
  </si>
  <si>
    <t>https://drive.google.com/open?id=1fPSZYJV16CJToYbkWX0yK6i0DvcoMYY9</t>
  </si>
  <si>
    <t>https://drive.google.com/open?id=1Ml6AA0zPjanFZPdp4mUfFcit5d9iEF-S</t>
  </si>
  <si>
    <t>https://drive.google.com/open?id=1fYd7J5wEv07Lacq0cFWM_yHyP58HltkQ</t>
  </si>
  <si>
    <t>https://drive.google.com/open?id=1LNwtfvz_HOkMeNRVTof5mgR0MVXXNPlz</t>
  </si>
  <si>
    <t>https://drive.google.com/open?id=1sek_KIDfwH1iyiCpqJvWbg6J7cxn57lX</t>
  </si>
  <si>
    <t>https://drive.google.com/open?id=1MAvVf1sXsVRfq4Xa_AiKjQN1WKKuhydW</t>
  </si>
  <si>
    <t>https://drive.google.com/open?id=1W_YoUAe9mZVQC_KPAq5i3WbbaEIqABAL</t>
  </si>
  <si>
    <t>https://drive.google.com/open?id=1FR_HsqLBfDkMNh2ci_wym_lMixytGCAk</t>
  </si>
  <si>
    <t>https://drive.google.com/open?id=1_lwZuiHn9q4hZgTsJQNhhxlXQtNo_w8f</t>
  </si>
  <si>
    <t>https://drive.google.com/open?id=1gHUVCe2mPR0CNO0w-MZBXL2BQE-jtCmk</t>
  </si>
  <si>
    <t>https://drive.google.com/open?id=1Y_wr6HN1GzaeFwFqAbsJvT11wPXugSgs</t>
  </si>
  <si>
    <t>3578144507870001</t>
  </si>
  <si>
    <t>SURABAYA</t>
  </si>
  <si>
    <t>AWINDA114@GMAIL.COM</t>
  </si>
  <si>
    <t>085336722548</t>
  </si>
  <si>
    <t>DUSUN BABATAN</t>
  </si>
  <si>
    <t>152/75</t>
  </si>
  <si>
    <t>6472044810900005</t>
  </si>
  <si>
    <t>3514092312240004</t>
  </si>
  <si>
    <t>MISIYAH</t>
  </si>
  <si>
    <t>INDRIAYHA@GMAIL.COM</t>
  </si>
  <si>
    <t>082218083988</t>
  </si>
  <si>
    <t>JLN. PESUT</t>
  </si>
  <si>
    <t>153/60</t>
  </si>
  <si>
    <t>6472041011100011</t>
  </si>
  <si>
    <t>SITI AMINI</t>
  </si>
  <si>
    <t>TL EVENT SPAGETI WOW</t>
  </si>
  <si>
    <t>6585158678</t>
  </si>
  <si>
    <t>https://drive.google.com/open?id=1VxRUX7M4TDdq74wt1Zdo8XfckhcA8UkT</t>
  </si>
  <si>
    <t>JALAN PESUT</t>
  </si>
  <si>
    <t>https://drive.google.com/open?id=1ZSNv6GrfFipGaVBB2VmWsIcmwPoLwguO</t>
  </si>
  <si>
    <t>https://drive.google.com/open?id=11LTjHJ5XNBmd4-lTnJGuw2TJ0MuJ81mS</t>
  </si>
  <si>
    <t>https://drive.google.com/open?id=1p8BSUoJDO7zviuMJJtitk4o7iekTkILk</t>
  </si>
  <si>
    <t>https://drive.google.com/open?id=11ft4-c-FpwVSVJFAFSi5rZw8qXl9XQ43</t>
  </si>
  <si>
    <t>https://drive.google.com/open?id=1HGiYyi5YIFV2gNXe0IVY8WD0qmDYv3q4</t>
  </si>
  <si>
    <t>https://drive.google.com/open?id=1WnqIDv8uVav1mGFQ_Kvj9we9Y2xGns9a</t>
  </si>
  <si>
    <t>CV SURYA ASIA PASIFIK, SANDANG AYU 2</t>
  </si>
  <si>
    <t>https://drive.google.com/open?id=1CmlvOYf5fbwk2oH-L92H-ZZhckOiM_U3</t>
  </si>
  <si>
    <t>https://drive.google.com/open?id=1lERNZIXtQbGE8ryga3054xNA_Z2Z9MNv</t>
  </si>
  <si>
    <t>https://drive.google.com/open?id=1VpORkrTp7SlKt52mJhHa8Puob_Y9vIWM</t>
  </si>
  <si>
    <t>https://drive.google.com/open?id=1VOqPFrUj5q7CHpgGxSgiEVqTx3z6jtEh</t>
  </si>
  <si>
    <t>https://drive.google.com/open?id=1WJX2sKHUHSqPUSA_pqP3Hbyes077WtKd</t>
  </si>
  <si>
    <t>https://drive.google.com/open?id=1iSANnaSh5-5cUo7OYOLa980wDX16voBb</t>
  </si>
  <si>
    <t xml:space="preserve">DESI ANGGRAENI </t>
  </si>
  <si>
    <t>3513176005070002</t>
  </si>
  <si>
    <t xml:space="preserve">PROBOLINGGO </t>
  </si>
  <si>
    <t>XIAOMIKENZO211@GMAIL.COM</t>
  </si>
  <si>
    <t>085771358132</t>
  </si>
  <si>
    <t>DUSUN KRAJAN 1, DESA MARON WETAN KEC.MARON</t>
  </si>
  <si>
    <t>ALDA AGUSTINA</t>
  </si>
  <si>
    <t>3203016502070005</t>
  </si>
  <si>
    <t>ALDAAGUSTINAA6@GMAIL.COM</t>
  </si>
  <si>
    <t>3513171002140009</t>
  </si>
  <si>
    <t>087768761674</t>
  </si>
  <si>
    <t>WAQIATUL QOMARIYA</t>
  </si>
  <si>
    <t>KP TIPAR KIDUL RT 001/006 DESA LIMBANGAN SARI KECAMATAN CIANJUR</t>
  </si>
  <si>
    <t>HOST LIVE</t>
  </si>
  <si>
    <t>KABUPATEN PROBOLINGGO</t>
  </si>
  <si>
    <t>3203010803110101</t>
  </si>
  <si>
    <t>DEUIS ROHYETI</t>
  </si>
  <si>
    <t>EVENT ROKO SELAMA SEBULAN TAPI JUSAMI</t>
  </si>
  <si>
    <t>DUSUN KRAJAN 1, DESA MARON WETAN KEC. MARON</t>
  </si>
  <si>
    <t>901890802567</t>
  </si>
  <si>
    <t>https://drive.google.com/open?id=19cZVQpztOiw8AgkRVJSASAj-oZRWbppg</t>
  </si>
  <si>
    <t>https://drive.google.com/open?id=1ZTuLwYGxyWpLAl_TYY9ctvF28xGcXRf4</t>
  </si>
  <si>
    <t>https://drive.google.com/open?id=132P9IanEK0KrtLC6Rn7nZoJz1_Lj36_B</t>
  </si>
  <si>
    <t>https://drive.google.com/open?id=1XrznyASpCDm6WP8s_7aUmxWIMSQ3tTVG</t>
  </si>
  <si>
    <t>https://drive.google.com/open?id=1Ewikrbv5Flqlsf2xO5CvRSlPq7xVtlMI</t>
  </si>
  <si>
    <t>https://drive.google.com/open?id=1-Jd7M0Onf29k3X3kMFHhn9yv-ZwkLlK-</t>
  </si>
  <si>
    <t>https://drive.google.com/open?id=11OamoBqbNXw96pk6peLN4SAkMW_SKuX5</t>
  </si>
  <si>
    <t>https://drive.google.com/open?id=18-172FvcYJK9BcvgttU8IgtzCW5Y0z2D</t>
  </si>
  <si>
    <t>https://drive.google.com/open?id=19EBQWvcd2Bm5qFOxAs3QBmjjYK09FsaZ</t>
  </si>
  <si>
    <t>https://drive.google.com/open?id=1r6qtr-4S8kmbmDTIZLupDjFSr0um784H</t>
  </si>
  <si>
    <t>https://drive.google.com/open?id=16Nd-qZMqe20cmneMCG1KsEfGMYiLt_zL</t>
  </si>
  <si>
    <t>DIVA SWALAYAN</t>
  </si>
  <si>
    <t>https://drive.google.com/open?id=1HwjvghlDt2g3DyPfvo1p6tHYyGFqYtzB</t>
  </si>
  <si>
    <t>https://drive.google.com/open?id=1thWvphJm6CLyzVXgnl5pr0JllJ4QYzfz</t>
  </si>
  <si>
    <t>DESI ANDIKA SARI</t>
  </si>
  <si>
    <t>35131964402070002</t>
  </si>
  <si>
    <t>PROBOLINGGO</t>
  </si>
  <si>
    <t>DESIPUTRI80808@GMAIL.COM</t>
  </si>
  <si>
    <t>085806720518</t>
  </si>
  <si>
    <t>DITA NINDIA</t>
  </si>
  <si>
    <t>DRINGU, JLN. BARUNA RT 2/RW 7 TAMANSARI</t>
  </si>
  <si>
    <t>3206075010940001</t>
  </si>
  <si>
    <t>152/44</t>
  </si>
  <si>
    <t>DITANINDIA10@GMAIL.COM</t>
  </si>
  <si>
    <t>085786544794</t>
  </si>
  <si>
    <t>3513192806100007</t>
  </si>
  <si>
    <t>KP.SAWAHILIR RT.003 RW.001 DESA.GIRIKENCANA KEC.PARUNGPONTENG</t>
  </si>
  <si>
    <t>MUSIK</t>
  </si>
  <si>
    <t>PRAMUNIAGA SINAR TERANG</t>
  </si>
  <si>
    <t>3206070203160008</t>
  </si>
  <si>
    <t>INA TARLIANA</t>
  </si>
  <si>
    <t>DRINGU</t>
  </si>
  <si>
    <t>901825881955</t>
  </si>
  <si>
    <t>https://drive.google.com/open?id=1oGFkX8DwFlx8jywQVZafnfJHCZQDX1Yo</t>
  </si>
  <si>
    <t>https://drive.google.com/open?id=1hM_yWq1fXVITmnlMQRlk9S_CEkNqNgL5</t>
  </si>
  <si>
    <t>https://drive.google.com/open?id=1UKXiPNc6Uzo2QnJD9nQQVNZnzZf5ONsv</t>
  </si>
  <si>
    <t>https://drive.google.com/open?id=1V1d5azUkRSIdVkJvdj7zNEcru3QFEc_9</t>
  </si>
  <si>
    <t>https://drive.google.com/open?id=1TVVv626pr1QmTBgaAv6teFq6hEccsX23</t>
  </si>
  <si>
    <t>https://drive.google.com/open?id=1-fCkwowqd6DKGrbZ5dCK_XgUtI3rCoZU</t>
  </si>
  <si>
    <t>https://drive.google.com/open?id=19roC-TGmKeG8yvhzhwLwAJx5gXzvYzPZ</t>
  </si>
  <si>
    <t>https://drive.google.com/open?id=16SUVUzISsKNgKyWHs6SX6qoYxS_m8eo7</t>
  </si>
  <si>
    <t>https://drive.google.com/open?id=19xULBHLRGgDwjtrFJW_IQPbMfREqU96t</t>
  </si>
  <si>
    <t>https://drive.google.com/open?id=1XEfIxqomyDKXg6esmragFHGKY76wGgtm</t>
  </si>
  <si>
    <t>https://drive.google.com/open?id=1HHuMm08TUpCgMdu6MYHVnl5Zg5WkWwbQ</t>
  </si>
  <si>
    <t>https://drive.google.com/open?id=1fefony9U4kWOkCSi6dK1pqstAQ28TzR1</t>
  </si>
  <si>
    <t>https://drive.google.com/open?id=1H6AeErTX-U0li4L3E12WuaB-B3vCGXpj</t>
  </si>
  <si>
    <t>MAULIDA FHATIRRAHMAN</t>
  </si>
  <si>
    <t>3205056204050004</t>
  </si>
  <si>
    <t>FENNI ROSANTI</t>
  </si>
  <si>
    <t>7271024112890009</t>
  </si>
  <si>
    <t>MAULIDAFHATIRRAHMAN@GMAIL.COM</t>
  </si>
  <si>
    <t>SRITABAANG</t>
  </si>
  <si>
    <t>087861605015</t>
  </si>
  <si>
    <t>JL. RAYA SAMARANG KP.CIPEPE, RT.01, RW.02, DES. MEKARGALIH, KEC.TAROGONG KIDUL, KAB. GARUT</t>
  </si>
  <si>
    <t>3205051712100116</t>
  </si>
  <si>
    <t>TENI MULYANI</t>
  </si>
  <si>
    <t>PT. STTC- SPG - FEB 2024-DES 2025
PT. UNIFAM -MD- JAN-MAR 2026
PT. SJA - SPG EVENT - APR-JUN 2026
PT. WINGS - EVENT JUSAMI - JUN2026</t>
  </si>
  <si>
    <t>VENNY.MAGELANG@GMAIL.COM</t>
  </si>
  <si>
    <t>085311662911</t>
  </si>
  <si>
    <t>TEGALARUM RT01RW15 BANJARNEGORO  MERTOYUDAN MAGELANG</t>
  </si>
  <si>
    <t>50.739.496.3-44300</t>
  </si>
  <si>
    <t>169/61</t>
  </si>
  <si>
    <t>14548912000196</t>
  </si>
  <si>
    <t>3308101405140005</t>
  </si>
  <si>
    <t>TUTIK SUMARLIN</t>
  </si>
  <si>
    <t>SPG MAMAMIA,SPG FEMMY KALBE,SPG MAYORA CHAMPION,SPG BINTANG TOEDJOE</t>
  </si>
  <si>
    <t>https://drive.google.com/open?id=11qEQkGtkE9krUOZKvZ25gWqnk8JyWgP0</t>
  </si>
  <si>
    <t>1222025022</t>
  </si>
  <si>
    <t>https://drive.google.com/open?id=1QDUoYGQqbDdqFbsHbOmT4yURc2RXIjC_</t>
  </si>
  <si>
    <t>TEGALARUM RT 01RW 15 BANJARNEGORO MERTOYUDAN</t>
  </si>
  <si>
    <t>https://drive.google.com/open?id=1DyOU-Y_wCCPJwG90tj_p3Kn6J_C-FBPq</t>
  </si>
  <si>
    <t>https://drive.google.com/open?id=1mOrbsG6wCyBs9aV99G-qMGYgCkrYNVzz</t>
  </si>
  <si>
    <t>https://drive.google.com/open?id=1YmIAd1pGnwy2VPz6bMaXzwRRYfshgtLB</t>
  </si>
  <si>
    <t>https://drive.google.com/open?id=12KqVkg4SRdLs2nMPSvA_5pdVdsSoYWmG</t>
  </si>
  <si>
    <t>ASIA GARUT</t>
  </si>
  <si>
    <t>https://drive.google.com/open?id=1fXM8_XlBXk1QQIiL40aU6c1oIfLk6EYu</t>
  </si>
  <si>
    <t>BUNGA</t>
  </si>
  <si>
    <t>3205066502990003</t>
  </si>
  <si>
    <t>LESTARIBUNGAA25@GMAIL.COM</t>
  </si>
  <si>
    <t>082119610771</t>
  </si>
  <si>
    <t>KP. SINDANG SINGKIR, RT/RW 001/007, DESA CIMAREME, KEC. BANYURESMI, KAB. GARUT</t>
  </si>
  <si>
    <t>160/47</t>
  </si>
  <si>
    <t>3205060603190005</t>
  </si>
  <si>
    <t>ELI SUSANTI</t>
  </si>
  <si>
    <t>RAMAYANA GARUT, SPG SASA INTI, SPG MOWILLEX, SPG EVENR MIE GAGA, SPG EVENT GARNIER, SPG EVENR MIE NISSIN, SPG EVENT SO FRESH, SPG EVENT FN MAN, SPG EVENT KARTIKA TOAST, SPG EVENT CUSSONS BABY</t>
  </si>
  <si>
    <t>https://drive.google.com/open?id=16tepGb-klrxc9-wSQfGDdUdM-AfsMWwg</t>
  </si>
  <si>
    <t>https://drive.google.com/open?id=1ulS5c3fj8nj1hgH0RIlmGoqINAlCAB4N</t>
  </si>
  <si>
    <t>https://drive.google.com/open?id=1PVSnmftOq435sV94oDAvMtsSE--Nv-MH</t>
  </si>
  <si>
    <t>https://drive.google.com/open?id=1GGRpr0sJjryVQcFnWDTN89Uj0fXaS8FB</t>
  </si>
  <si>
    <t>https://drive.google.com/open?id=1Em12xH1JN0rWSO6-aVYenG28PD0cY-Un</t>
  </si>
  <si>
    <t>https://drive.google.com/open?id=1ysvgILaMAmTe3QPtZV-i5CAYOiz2eoc0</t>
  </si>
  <si>
    <t>https://drive.google.com/open?id=1YeqmBCjvjbIQdnJRJSdNgUZ-8PU_wBEg</t>
  </si>
  <si>
    <t>https://drive.google.com/open?id=1Bv02LzmOpmRlncOs_UkgPyG81LSVA6PN</t>
  </si>
  <si>
    <t>https://drive.google.com/open?id=15awhF2EhdG5LA5Kk2rXQCNZb4BVGoXcy</t>
  </si>
  <si>
    <t>https://drive.google.com/open?id=1_8pQd0p3SQwCx4dN4BKjz-LKp6fapP4_</t>
  </si>
  <si>
    <t>https://drive.google.com/open?id=1DwQ4yzOWhruGFSBaqvRsiySYLRkUTGqX</t>
  </si>
  <si>
    <t>AGUSTIN TRI WULANDARI</t>
  </si>
  <si>
    <t>https://drive.google.com/open?id=1ha1PTd96ut_LLml_EvXKDd6ynn9VMQrl</t>
  </si>
  <si>
    <t>3574036308010002</t>
  </si>
  <si>
    <t>AGUSTINWULANDARI598@GMAIL.COM</t>
  </si>
  <si>
    <t>0881036358487</t>
  </si>
  <si>
    <t>DUSUN KRAJAN BANDARAN RT 05 RW 02 DESA DRINGU KEC. DRINGU</t>
  </si>
  <si>
    <t>156/48</t>
  </si>
  <si>
    <t>GITA DEWI MEIYANI</t>
  </si>
  <si>
    <t>3279014205050003</t>
  </si>
  <si>
    <t>3513190608240007</t>
  </si>
  <si>
    <t>GITADEWI02M@GMAIL.COM</t>
  </si>
  <si>
    <t>SUHARTATIK</t>
  </si>
  <si>
    <t>087880317480</t>
  </si>
  <si>
    <t>DUSUN CIPARIUK RT/RW 05/03 DESA NEGLASARI, KECAMATAN BANJAR, KOTA BANJAR</t>
  </si>
  <si>
    <t>4158.664.8-62500</t>
  </si>
  <si>
    <t>3279012307120010</t>
  </si>
  <si>
    <t>YEYEN HENDAYANI</t>
  </si>
  <si>
    <t>KASIR ALFAMART
BA VIVA
SPG WOW SPAGETTI</t>
  </si>
  <si>
    <t>26870125744200</t>
  </si>
  <si>
    <t>https://drive.google.com/open?id=1VWRSLLK_TDY3IjV0ZoGik_uhT1AIPZSe</t>
  </si>
  <si>
    <t>https://drive.google.com/open?id=1fZoll9roJ7QZLSGghM2IkzPzkzGYnFrW</t>
  </si>
  <si>
    <t>58001048170500</t>
  </si>
  <si>
    <t>https://drive.google.com/open?id=1U5rCsAVhox6zPLFK-dtyPkWYUZ2hemRP</t>
  </si>
  <si>
    <t>DUSUN PANYINGKIRAN, RT/RW 28/13 DESA CIHARALANG, KECAMATAN CIJEUNGJING, KABUPATEN CIAMIS</t>
  </si>
  <si>
    <t>https://drive.google.com/open?id=1AM0YvSDp4Od0E2GUBvwf_iAQ0-qn8gUg</t>
  </si>
  <si>
    <t>https://drive.google.com/open?id=1-k32UnfVK326FfJ5o-z0ZiL2fPC82sXj</t>
  </si>
  <si>
    <t>https://drive.google.com/open?id=1n675jBIZYvGRcitYAR9Hk8PX9lXDJuzp</t>
  </si>
  <si>
    <t>KDS PROBOLINGGO</t>
  </si>
  <si>
    <t>https://drive.google.com/open?id=128lBOQSfGMx8T5tXd3F85g_MDnfbrulw</t>
  </si>
  <si>
    <t>https://drive.google.com/open?id=1l7JZjJGSPmqgtNZwEa-sgPLJ01TINfn_</t>
  </si>
  <si>
    <t>https://drive.google.com/open?id=1rATu0Ye51_rPSqy90F1o8slkDRxeW7vV</t>
  </si>
  <si>
    <t>https://drive.google.com/open?id=1NG6fsD4UzhQBawbjQuc39mBgYr4vqwaI</t>
  </si>
  <si>
    <t>https://drive.google.com/open?id=1wewwVK6SeJ2sVUPthsckYtE3SArgZRXX</t>
  </si>
  <si>
    <t>https://drive.google.com/open?id=1R9z4zUKQ9YkuZYv020o6yyiKsMVVVAFV</t>
  </si>
  <si>
    <t xml:space="preserve">NUR KARISMA RIZEKI PUTRI </t>
  </si>
  <si>
    <t>https://drive.google.com/open?id=1B4MzTQEmixCvJoT0nmzQ2sfRjEZV5McW</t>
  </si>
  <si>
    <t>3513214711000001</t>
  </si>
  <si>
    <t>GUNASALMA 1 KAWALI</t>
  </si>
  <si>
    <t>KARISMANUR111@GMAIL.COM</t>
  </si>
  <si>
    <t>081455026547</t>
  </si>
  <si>
    <t xml:space="preserve">DUSUN OMBENAN RT 14 RW 06 DESA LAWEYAN KECAMATAN SUMBERASIH KABUPATEN PROBOLINGGO </t>
  </si>
  <si>
    <t>NENG NURJANAH</t>
  </si>
  <si>
    <t>155/58</t>
  </si>
  <si>
    <t>3205064907950003</t>
  </si>
  <si>
    <t>3513210505250002</t>
  </si>
  <si>
    <t>NENGNURJANAH2711@GMAIL.COM</t>
  </si>
  <si>
    <t xml:space="preserve">HUMAIYAH </t>
  </si>
  <si>
    <t>0895331166635</t>
  </si>
  <si>
    <t xml:space="preserve">SPG EVENT PASAR </t>
  </si>
  <si>
    <t>JL.GUNUNG LUMBUNG</t>
  </si>
  <si>
    <t>135700213312</t>
  </si>
  <si>
    <t>3205012106220013</t>
  </si>
  <si>
    <t>AI LILIS</t>
  </si>
  <si>
    <t xml:space="preserve">ROY ASWIN MARCELLO </t>
  </si>
  <si>
    <t>PT CEMARA
CV BUDI JAYA ABADI</t>
  </si>
  <si>
    <t>"0"</t>
  </si>
  <si>
    <t>4460657542</t>
  </si>
  <si>
    <t>https://drive.google.com/open?id=1-MpisyvKrnMWcOmTUcoeVgbT4bBNDQ1A</t>
  </si>
  <si>
    <t>https://drive.google.com/open?id=1Q9neUeqqZ-ZbhdXbto-fEkT6Jzug_L6A</t>
  </si>
  <si>
    <t>https://drive.google.com/open?id=1lr_VXDnSiFtdT-NI_m6XTVrtiG0_Xyyv</t>
  </si>
  <si>
    <t>https://drive.google.com/open?id=1k8m6q_VD9M9CbJE62j73SBRGhEYBdyHR</t>
  </si>
  <si>
    <t>https://drive.google.com/open?id=1dJGhsmK3DSOyT9woXxJIm1BwsHMX0TK5</t>
  </si>
  <si>
    <t>https://drive.google.com/open?id=1ZlJzg3iIDStRXdHXPHxOnTMaj5D5-7Vy</t>
  </si>
  <si>
    <t>https://drive.google.com/open?id=1MX13yuLxUKKBjxFlKo-xiH0jvF_SQv-Y</t>
  </si>
  <si>
    <t>https://drive.google.com/open?id=176AQdK1EKOpNlLxBDTW8FIRMYoe6Xksp</t>
  </si>
  <si>
    <t>https://drive.google.com/open?id=1PMVvb2Os8NhuEIsu_uwLRf0mov5Tw8JW</t>
  </si>
  <si>
    <t>https://drive.google.com/open?id=1neoyHIAEUb6DFo4SFdVjUAY0PjK4rv2K</t>
  </si>
  <si>
    <t>https://drive.google.com/open?id=1K05hAgwMXV2HUoJFjryj7gJge8j7owz4</t>
  </si>
  <si>
    <t>https://drive.google.com/open?id=1UKSwmQ-wScelDpKIQcyYm6jbILDHMer3</t>
  </si>
  <si>
    <t>https://drive.google.com/open?id=1kdCprzVjUClQnFKY5ZecYJR0ABj9zRTM</t>
  </si>
  <si>
    <t xml:space="preserve">VEELA SINDI DIAH FADILAH WATI </t>
  </si>
  <si>
    <t>3510225603000004</t>
  </si>
  <si>
    <t>BANYUWANGI</t>
  </si>
  <si>
    <t>DFWVEELASINDI22@GMAIL.COM</t>
  </si>
  <si>
    <t>082228828739</t>
  </si>
  <si>
    <t>YUNNYTA VINA LISTIA</t>
  </si>
  <si>
    <t>DSN. SENEPOLOR RT/RW 04/04 DESA. BARUREJO KEC. SILIRAGUNG KAB. BANYUWANGI KODE POS 68488</t>
  </si>
  <si>
    <t>160/48</t>
  </si>
  <si>
    <t>3578154903070002</t>
  </si>
  <si>
    <t>3510220909080014</t>
  </si>
  <si>
    <t>LYUNNYTA@GMAIL.COM</t>
  </si>
  <si>
    <t>089528049188</t>
  </si>
  <si>
    <t>DWI NUNUK RUPAWANTI</t>
  </si>
  <si>
    <t>BENDIL, DESA. DERMOLEMAHBANG, KEC. SARIREJO, KAB. LAMONGAN</t>
  </si>
  <si>
    <t>PT. HASTA AYU NUSANTARA - SPG EVENT - JUNI 2026</t>
  </si>
  <si>
    <t>KABUPATEN BANYUWANGI</t>
  </si>
  <si>
    <t>160/70</t>
  </si>
  <si>
    <t>3524270405120014</t>
  </si>
  <si>
    <t>KARIYATUN</t>
  </si>
  <si>
    <t xml:space="preserve">KARYAWAN PABRIK
SALES F&amp;B
PEMBINA PRAMUKA SD/SMP 
KARYAWAN BORONGAN </t>
  </si>
  <si>
    <t>KAB. BANYUWANGI</t>
  </si>
  <si>
    <t>631601011706509</t>
  </si>
  <si>
    <t>https://drive.google.com/open?id=1OKvp_zed7vmbu11w709Cq8JQnJ4lS_Cl</t>
  </si>
  <si>
    <t>https://drive.google.com/open?id=1N14PBeYzqJY4Is-suTp_5IXxZjXCVgOA</t>
  </si>
  <si>
    <t>https://drive.google.com/open?id=1jgtHER3s_PN2M-k3_4p3JYNx2u71qE0q</t>
  </si>
  <si>
    <t>https://drive.google.com/open?id=1KO_cwWuelychCdDpmx2pWYcey4ib5Iau</t>
  </si>
  <si>
    <t>https://drive.google.com/open?id=1YWzBt6X7kyeEn1-oG57TXHtG0XZptbOx</t>
  </si>
  <si>
    <t>https://drive.google.com/open?id=1jp7UiPkx_07oJqll5ypky2jtQIKgd7KO</t>
  </si>
  <si>
    <t>CV. ROXY BANYUWANGI</t>
  </si>
  <si>
    <t>https://drive.google.com/open?id=1814-xHuTNqLXFfokNwAZbPEGC6dHITlO</t>
  </si>
  <si>
    <t>https://drive.google.com/open?id=18GOd0MPcK4qcTR4k8Zy9e4xMwhp_1RFi</t>
  </si>
  <si>
    <t>https://drive.google.com/open?id=1A-1Oy2Q2r8x4yvNHaB0uAxzUi_h9mwO-</t>
  </si>
  <si>
    <t>https://drive.google.com/open?id=1WgWFk_Ezsxzc8GID4Szd5x8xn-5UeF9O</t>
  </si>
  <si>
    <t>https://drive.google.com/open?id=1bzj18P0QOCWW5GeXvURlR5YIsOmOwozz</t>
  </si>
  <si>
    <t>https://drive.google.com/open?id=1mvHQ6jBda8JP50zdVXngAaXJfAbcylml</t>
  </si>
  <si>
    <t>ADEA UNI ULIVIA</t>
  </si>
  <si>
    <t>https://drive.google.com/open?id=1wrbBDPqcl3qLf_kom6GC_hFNqgPPWAai</t>
  </si>
  <si>
    <t>3510206707040009</t>
  </si>
  <si>
    <t>ADEAULIVIAUMI@GMAIL.COM</t>
  </si>
  <si>
    <t>085606382971</t>
  </si>
  <si>
    <t>KARANGANYAR KARANGSARI SEMPU RT5 RE2</t>
  </si>
  <si>
    <t>3510201011210004</t>
  </si>
  <si>
    <t>MUSRIANI</t>
  </si>
  <si>
    <t>PROMOTOR OPPO</t>
  </si>
  <si>
    <t>14-Agu-26</t>
  </si>
  <si>
    <t>LINDA JULIANTI</t>
  </si>
  <si>
    <t>61.249.628.1-62700</t>
  </si>
  <si>
    <t>3302055507980002</t>
  </si>
  <si>
    <t>ADEA UMI ULIVIA</t>
  </si>
  <si>
    <t>LINDAJULIANTI434@GMAIL.COM</t>
  </si>
  <si>
    <t>089530008111</t>
  </si>
  <si>
    <t xml:space="preserve">KALISALAK RT06 RW01 KEBASEN BANYUMAS </t>
  </si>
  <si>
    <t>14149807001447</t>
  </si>
  <si>
    <t>https://drive.google.com/open?id=12ZCB-xP5V4uni0oufPgD-oBa9ANXEYp2</t>
  </si>
  <si>
    <t>MARSINI</t>
  </si>
  <si>
    <t>https://drive.google.com/open?id=1I5s3z3Dbw3LdD-O8x18WfBZa_fG0wNdR</t>
  </si>
  <si>
    <t>1.PRAMUNIAGA JB KROYA
2. SPG FASHION RITA SUPERMALL
3. OPERATOR SPBU KROYA
4. SPG EVENT TEMPO JB KROYA
5. SPG SUNCO JB KROYA
6. SPG EVENT MADU TJ JB KROYA
7. SPG GT MILLO PASAR KROYA
8. SPG GT ILM PASAR AUMPIUH</t>
  </si>
  <si>
    <t>https://drive.google.com/open?id=1ZfsGWZQk8qvwfhuMo0dOKlDYqs5sYgum</t>
  </si>
  <si>
    <t>KABUPATEN CILACAP</t>
  </si>
  <si>
    <t>https://drive.google.com/open?id=1vKgso6EtOr7usWVaOhBBzIlCf5_TKq9t</t>
  </si>
  <si>
    <t>https://drive.google.com/open?id=1_zazwjZIxyzX2b6fyPq3MyWftx5Dowpw</t>
  </si>
  <si>
    <t>https://drive.google.com/open?id=1IZiGmadN4Ys2NVw2pgteZUpP-6zgKVns</t>
  </si>
  <si>
    <t xml:space="preserve">LINDA JULIANTI </t>
  </si>
  <si>
    <t xml:space="preserve">YENI RETNO WIDYASTUTIK </t>
  </si>
  <si>
    <t>3514105106940001</t>
  </si>
  <si>
    <t>ZEANEYCUTEKZ@GMAIL.COM</t>
  </si>
  <si>
    <t>https://drive.google.com/open?id=1EcdSDXXffJXMquV7FxDZ9X-Wowh1eSiT</t>
  </si>
  <si>
    <t>089612762860</t>
  </si>
  <si>
    <t xml:space="preserve">DUSUN WONOSALAM DESA CANDIWATES KEC PRIGEN PASURUAN </t>
  </si>
  <si>
    <t>https://drive.google.com/open?id=1cmnCar_uxf-z6wsMXLJtCxz109-GDqaG</t>
  </si>
  <si>
    <t>https://drive.google.com/open?id=1jeBV0LYDHx5CGsowNSzuGibNUO3TAQcn</t>
  </si>
  <si>
    <t>3514101501240001</t>
  </si>
  <si>
    <t>https://drive.google.com/open?id=1gea2L3WWjkL4E8-QB0y-HHchp29fG93-</t>
  </si>
  <si>
    <t>WINARTI</t>
  </si>
  <si>
    <t>BA, SPG EVENT</t>
  </si>
  <si>
    <t>https://drive.google.com/open?id=1jnbReWC5lWCR24ouX3yA4_U579CQggoA</t>
  </si>
  <si>
    <t>https://drive.google.com/open?id=1kaoLSueoud84ilc4FuYr0Cr15Po9XM6f</t>
  </si>
  <si>
    <t>https://drive.google.com/open?id=1jGqOcgirL_D61Znr52bsQmNDCr8SV8iZ</t>
  </si>
  <si>
    <t>2701504106240000</t>
  </si>
  <si>
    <t>SAMI LARIS CILACAP</t>
  </si>
  <si>
    <t>HAULA LUTFIA MANSYAH</t>
  </si>
  <si>
    <t>3301214710950001</t>
  </si>
  <si>
    <t>https://drive.google.com/open?id=18wxKgrd3EErx4qaMy1ZmpWUBJwom_exH</t>
  </si>
  <si>
    <t>BENGKALIS</t>
  </si>
  <si>
    <t>https://drive.google.com/open?id=1ne07nr_pGPB0BvVYZbWZVUSn4rTgnVW_</t>
  </si>
  <si>
    <t>QUEENGALAXY222@GMAIL.COM</t>
  </si>
  <si>
    <t>085860882225</t>
  </si>
  <si>
    <t>https://drive.google.com/open?id=1E27Xyat-JfLBtNjEw9MOhi3Hiy3-5kIT</t>
  </si>
  <si>
    <t>JALAN LINGKAR SELATAN RT 05 RW 04</t>
  </si>
  <si>
    <t>https://drive.google.com/open?id=1waP84vGiOe1bI98rYZ9uYChiNm-5xk1a</t>
  </si>
  <si>
    <t>https://drive.google.com/open?id=1qonKSvpay_IjFb1HqFln44BkSO1sA2pC</t>
  </si>
  <si>
    <t>158/46</t>
  </si>
  <si>
    <t>https://drive.google.com/open?id=1t2jb0-88s40HhiBREugb0XjJPf1bWtTe</t>
  </si>
  <si>
    <t>951014231663</t>
  </si>
  <si>
    <t>CV SURYA ASIA PASIFIK</t>
  </si>
  <si>
    <t>3301212610160004</t>
  </si>
  <si>
    <t xml:space="preserve">TARISAH </t>
  </si>
  <si>
    <t xml:space="preserve">BA WARDAH </t>
  </si>
  <si>
    <t>902448935522000</t>
  </si>
  <si>
    <t>0961117452</t>
  </si>
  <si>
    <t>JALAN LINGKAR SELATAN GANG BINTANG 5</t>
  </si>
  <si>
    <t>CILACAP</t>
  </si>
  <si>
    <t>https://drive.google.com/open?id=11H7Zp-KtOTU1owLuSJU1YSDPpoVgmntv</t>
  </si>
  <si>
    <t>https://drive.google.com/open?id=1ASJ-TWCbNd_cphOcQqsf8baKZH5ybNMV</t>
  </si>
  <si>
    <t>https://drive.google.com/open?id=1w44bfmv3cwnCuzn0WpG0Ye744aJKvbd6</t>
  </si>
  <si>
    <t>https://drive.google.com/open?id=1D8l1t6XTqO4bwIpV4tKPs_9qipi5XIN6</t>
  </si>
  <si>
    <t>https://drive.google.com/open?id=1R4IrLiiLCKmHriJfC_e1vRO3RIhc5VKQ</t>
  </si>
  <si>
    <t>https://drive.google.com/open?id=1M7CLHSTgm4cbkaOksPlI3aa1wxHOiM69</t>
  </si>
  <si>
    <t>KUSDIANI</t>
  </si>
  <si>
    <t>https://drive.google.com/open?id=17zNT31-c9lscd814fMdZpfvZfFUu4jWv</t>
  </si>
  <si>
    <t>3504046402070002</t>
  </si>
  <si>
    <t>DINICACA29@GMAIL.COM</t>
  </si>
  <si>
    <t>083896352752</t>
  </si>
  <si>
    <t>28-Agu-26</t>
  </si>
  <si>
    <t>JLN DUSUN BABATAN DÉSA KALIREJO KEC SUKOREJO KAB PASURUAN</t>
  </si>
  <si>
    <t>SRI YULI ASTUTI</t>
  </si>
  <si>
    <t>3522186907870001</t>
  </si>
  <si>
    <t>BOJONEGORO</t>
  </si>
  <si>
    <t>3514090910230009</t>
  </si>
  <si>
    <t>yuliaazaffi@gmail.com</t>
  </si>
  <si>
    <t xml:space="preserve">1.CV  SANDANG AYU PRAMUNIAGA
2.PT EVA RAJA MISI SPG EVENT
3.PT ARUDAM LK SPG EVENT
4.PT WINGS FOOD SPG EVENT
5. PT KINO  SPG EVENT
</t>
  </si>
  <si>
    <t>JL.STM MUHA DEPAN PERUM GRNAD GALAXY MEGAL REJO,KEC. CEPU ,KAB. BLORA</t>
  </si>
  <si>
    <t>158//60</t>
  </si>
  <si>
    <t>3416050301230004</t>
  </si>
  <si>
    <t>LASTI</t>
  </si>
  <si>
    <t>SPG EVENT BOGASARI</t>
  </si>
  <si>
    <t>DAN BABATAN DÉSA KALIREJO KEC SUKOREJO KAB PASURUAN</t>
  </si>
  <si>
    <t>SUKOREJO</t>
  </si>
  <si>
    <t>BLORA</t>
  </si>
  <si>
    <t>MEGALREJO RT 07 RW 14 BALUN,CEPU BLORA</t>
  </si>
  <si>
    <t>https://drive.google.com/open?id=1W5ODGoonqraAC8SA3a4eijfhBurMQ3b7</t>
  </si>
  <si>
    <t>BUDIL</t>
  </si>
  <si>
    <t>https://drive.google.com/open?id=13h4_Gu-P4yWXJisojMQPlr35Dcmr_sJ2</t>
  </si>
  <si>
    <t>https://drive.google.com/open?id=14lZ6d3BLEpya_pPg-CJt02GfeoRhdSVm</t>
  </si>
  <si>
    <t>https://drive.google.com/open?id=1TSMu_yec8CfEngGDVJeStyauNBwVJDvi</t>
  </si>
  <si>
    <t>https://drive.google.com/open?id=1mxn-6eWUmEfeVxMkA2GTB9LRN2GSGSnx</t>
  </si>
  <si>
    <t>https://drive.google.com/open?id=1imjGwvFdETjld4exrK6ojs2Bj5T-_aGh</t>
  </si>
  <si>
    <t>https://drive.google.com/open?id=1WjAxh9OEcTTPgVNM4C17x-d5wUcyPIT7</t>
  </si>
  <si>
    <t>DIAN PURNAMA</t>
  </si>
  <si>
    <t>3212136202080002</t>
  </si>
  <si>
    <t>INDRAMAYU</t>
  </si>
  <si>
    <t>DIANPURNAMA619@GMAIL.COM</t>
  </si>
  <si>
    <t>089654776657</t>
  </si>
  <si>
    <t>JL. LETNAN JONI NO 96, DESA JATIBARANG BARU, BLOK BINTARA RT 30 RW 06, KECAMATAN JATIBARANG, KABUPATEN INDRAMAYU</t>
  </si>
  <si>
    <t>163/70</t>
  </si>
  <si>
    <t>3212130106095631</t>
  </si>
  <si>
    <t>SANIRI</t>
  </si>
  <si>
    <t>KABUPATEN INDRAMAYU</t>
  </si>
  <si>
    <t>DESA JATIBARANG BARU BLOK BINTARA RT 30 RW 06 KECAMATAN JATIBARANG KABUPATEN INDRAMAYU</t>
  </si>
  <si>
    <t>CANCEL RUNNING TOKO</t>
  </si>
  <si>
    <t>https://drive.google.com/open?id=1K0jFYReMOCJAgyEuQi5-vvBScLl9wE87</t>
  </si>
  <si>
    <t>https://drive.google.com/open?id=1hI9hy4QTU5pw7cwm1uFiFYr13vViCDBp</t>
  </si>
  <si>
    <t>https://drive.google.com/open?id=188fNJlOdsKe8LPGqtegl1YubZwA5cB2n</t>
  </si>
  <si>
    <t>https://drive.google.com/open?id=1jz8-2yUYCMP8zdmvFBasl2ExUmVM6Xqe</t>
  </si>
  <si>
    <t>https://drive.google.com/open?id=1BiJlbH0c_vuOUCZ83qGveyPlEuVrLJed</t>
  </si>
  <si>
    <t>https://drive.google.com/open?id=1arGMojgpakOOyq4GuLig2ps7_580I_NX</t>
  </si>
  <si>
    <t>https://drive.google.com/open?id=1-ac676dLaM6DVu9KG_ELe3xJj8dtNYGg</t>
  </si>
  <si>
    <t>SURYA TOSERBA INDRAMAYU</t>
  </si>
  <si>
    <t>REKA NOVIANI</t>
  </si>
  <si>
    <t>3205036011980001</t>
  </si>
  <si>
    <t>REKANOVIANI77@GMAIL.COM</t>
  </si>
  <si>
    <t>089630134014</t>
  </si>
  <si>
    <t>KP PASIR KACAPI RT/RW 03/01</t>
  </si>
  <si>
    <t>159/46</t>
  </si>
  <si>
    <t>03831642</t>
  </si>
  <si>
    <t>3205032312200017</t>
  </si>
  <si>
    <t>WIWINYANI</t>
  </si>
  <si>
    <t>SPG UNILEVER,SPG NIVEA,EVENT SENSODYNE,EVENT RINSO</t>
  </si>
  <si>
    <t>https://drive.google.com/open?id=1-XlNPU-vfrDLaBQAkyT9PufR1NfhVnn5</t>
  </si>
  <si>
    <t>https://drive.google.com/open?id=1_2WDfRBtEee9mpBPUFfX5GTpjzetGyiX</t>
  </si>
  <si>
    <t>https://drive.google.com/open?id=1oE4sjaeB3OgC-N2x8fCybPGgWc7_hIBj</t>
  </si>
  <si>
    <t>https://drive.google.com/open?id=1qiNdH5T-ZWMZUR8MrCYTnOU-7ALa51CI</t>
  </si>
  <si>
    <t>https://drive.google.com/open?id=1KMDNC4M0Y3aXe9ds7Pn3pt4Lf3KExHXd</t>
  </si>
  <si>
    <t>https://drive.google.com/open?id=1All-3oJ1B0g5fjtQc7IMawWu9HrcFwTo</t>
  </si>
  <si>
    <t>https://drive.google.com/open?id=1SeMk5Ba-ypXjuDUWm6UMk5N-AGCRbRvW</t>
  </si>
  <si>
    <t>RINI KUSMAYANTI</t>
  </si>
  <si>
    <t>3207016009000001</t>
  </si>
  <si>
    <t>TANGERANG</t>
  </si>
  <si>
    <t>RKUSMAYANTI993@GMAIL.COM</t>
  </si>
  <si>
    <t>085723657526</t>
  </si>
  <si>
    <t>LINGKUNGAN KALAPAJAJAR RT/RW 001/017 KEC.CIAMIS KAB.CIAMIS</t>
  </si>
  <si>
    <t>162/50</t>
  </si>
  <si>
    <t>3207012409070124</t>
  </si>
  <si>
    <t>ESIH KERMASIH</t>
  </si>
  <si>
    <t>RUMAH PAKAIAN DALAM SELAMA 2 TAHUN, SPG EVENT LEMONILO, PART TIME NICESO</t>
  </si>
  <si>
    <t>https://drive.google.com/open?id=1IwSIhTwFF0orzvDKcYotMozMi-SSsiVJ</t>
  </si>
  <si>
    <t>https://drive.google.com/open?id=1Qbv7jA43WFphnYkaOiLJzZb5egJAGF18</t>
  </si>
  <si>
    <t>https://drive.google.com/open?id=1l3IDckQvh3RxrNXlYt-hR0HTVgzcz18E</t>
  </si>
  <si>
    <t>https://drive.google.com/open?id=1sFnGu8NBHZ1AK7InVS0G4-J8XGRBXWpm</t>
  </si>
  <si>
    <t>https://drive.google.com/open?id=1rO0wiaulvJrSCnG-iBOHSLmhg48dwQYB</t>
  </si>
  <si>
    <t>https://drive.google.com/open?id=1s1QjGpKGRDhGJTg0bpWIaR5NAl8Sev14</t>
  </si>
  <si>
    <t>https://drive.google.com/open?id=19deIZQc9HeA47JNqfKuhXMMIl-skkYrB</t>
  </si>
  <si>
    <t>GUNASALMA1 KAWALI</t>
  </si>
  <si>
    <t>https://drive.google.com/open?id=1eV834w3EbpF25WTg66p5JAZ-rQQ6B0Ch</t>
  </si>
  <si>
    <t>PEBYA PUTRI TITIAN VANESA</t>
  </si>
  <si>
    <t>1802154402090002</t>
  </si>
  <si>
    <t>RENGAS</t>
  </si>
  <si>
    <t>FEBIYAVANESA@GMAIL.COM</t>
  </si>
  <si>
    <t>088747751851</t>
  </si>
  <si>
    <t>JALAN PANGERAN ANTASARI GG LANGGAR 2</t>
  </si>
  <si>
    <t>1802151301080057</t>
  </si>
  <si>
    <t xml:space="preserve">SITI ARMANAH </t>
  </si>
  <si>
    <t>LAMPUNG</t>
  </si>
  <si>
    <t>KOTA BANDAR LAMPUNG</t>
  </si>
  <si>
    <t xml:space="preserve">ANTASARI </t>
  </si>
  <si>
    <t xml:space="preserve">BANDAR LAMPUNG </t>
  </si>
  <si>
    <t>https://drive.google.com/open?id=1FDu8TiLkp9a7j8_Qyl2BOLQU8n7VX5un</t>
  </si>
  <si>
    <t>https://drive.google.com/open?id=1sQVLD5qOLrcZkqo3vTeQXnG0hz-_o7e3</t>
  </si>
  <si>
    <t>https://drive.google.com/open?id=1wzemI7mlcjH0p3Q2p8nX3E9k1g0xa9OT</t>
  </si>
  <si>
    <t>https://drive.google.com/open?id=1PbV5AEs2230hJ0W1U8hw5Z2oIwveHcLd</t>
  </si>
  <si>
    <t>https://drive.google.com/open?id=1L8X5uqUAAG6We4Z0itbj9JVn3p9qG7vG</t>
  </si>
  <si>
    <t>https://drive.google.com/open?id=1HrgT8ZCLKnGgaaNlThJT9Hlaam1At2zi</t>
  </si>
  <si>
    <t>CHANDRA TANJUNG KARANG</t>
  </si>
  <si>
    <t>BRAVO SWALAYAN</t>
  </si>
  <si>
    <t>AFNITA SARI</t>
  </si>
  <si>
    <t>AINA YURITA</t>
  </si>
  <si>
    <t>1871095005960002</t>
  </si>
  <si>
    <t>MARTHA KRISTINA NOYA</t>
  </si>
  <si>
    <t>TELUK BETUNG UTARA</t>
  </si>
  <si>
    <t>3316054203870002</t>
  </si>
  <si>
    <t>CEPU</t>
  </si>
  <si>
    <t>AINIYURITA008@GMAIL.COM</t>
  </si>
  <si>
    <t>marthanoiya57@gmail.com</t>
  </si>
  <si>
    <t>081379832050</t>
  </si>
  <si>
    <t>BALUN KANDANG DORO LR02/58 KELURAHAN BALUN,KECAMATAN CEPU</t>
  </si>
  <si>
    <t>JL DIPONEGORO GG POKAT NO 38</t>
  </si>
  <si>
    <t>165/65</t>
  </si>
  <si>
    <t>3316062611190003</t>
  </si>
  <si>
    <t>1871091701200001</t>
  </si>
  <si>
    <t>WIWIK MUJIATI</t>
  </si>
  <si>
    <t>SUAIBAH</t>
  </si>
  <si>
    <t>SPG JSM DANCOW POJOK CERDAS</t>
  </si>
  <si>
    <t>CEPU JATENG</t>
  </si>
  <si>
    <t>PERUM CEPU ASRI GANG SAKUR1 NO234 KELURAHAN SAMBONG,KECAMATAN SAMBONG,CEPU-JATENG</t>
  </si>
  <si>
    <t>BANDAR LAMPUNG</t>
  </si>
  <si>
    <t>https://drive.google.com/open?id=1RfTmBz0L79HdvQuU6ZyCSni_-QreKsSo</t>
  </si>
  <si>
    <t>https://drive.google.com/open?id=1ndrB1S2SIgbjxunVfUn_-OF3LFM8K9BF</t>
  </si>
  <si>
    <t>https://drive.google.com/open?id=1e8Kpsej9Ut2pGfZyNlA-leFWa6dgsaaR</t>
  </si>
  <si>
    <t>https://drive.google.com/open?id=1jp5CDPjjcdnWA2GW7zchz0NLMWqd9wZM</t>
  </si>
  <si>
    <t>https://drive.google.com/open?id=1p-DfyF2LS3d5LPaNA0jMBC6mRo3R5lcV</t>
  </si>
  <si>
    <t>https://drive.google.com/open?id=12qZ5-TxTN8D5CIV1f5ofVn-NXDRuVkKu</t>
  </si>
  <si>
    <t>https://drive.google.com/open?id=1CJhRv7OfsBrHwcFeiSzXUFCyk5G4Dfgk</t>
  </si>
  <si>
    <t>AFNITASARI</t>
  </si>
  <si>
    <t>1208085209830004</t>
  </si>
  <si>
    <t>MEDAN</t>
  </si>
  <si>
    <t>https://drive.google.com/open?id=1cnsgTlJvmE0mHnTWs_mV_YVTLB0nhjH2</t>
  </si>
  <si>
    <t>AFNITASARI713@GMAIL.COM</t>
  </si>
  <si>
    <t>081372107441</t>
  </si>
  <si>
    <t>JL SARI NO 57</t>
  </si>
  <si>
    <t>1271110505170008</t>
  </si>
  <si>
    <t>IDA NILAWATI</t>
  </si>
  <si>
    <t>TEAM LEADER BINTANG TOEDJOE</t>
  </si>
  <si>
    <t>SUMATERA UTARA</t>
  </si>
  <si>
    <t>KOTA MEDAN</t>
  </si>
  <si>
    <t>JLN SARI NO 57</t>
  </si>
  <si>
    <t>https://drive.google.com/open?id=1-uJvqb9TpIl4kchSUPIFM_Zxb5GXa7Ct</t>
  </si>
  <si>
    <t>https://drive.google.com/open?id=1ONZhgPcdJcgOxkLoodB5p-3m4RI9A8RV</t>
  </si>
  <si>
    <t>https://drive.google.com/open?id=1GHR5gCe3is9VXR6DK5v4a3KIdr2zamb1</t>
  </si>
  <si>
    <t>https://drive.google.com/open?id=1goq6s-zIaQPnhnLqe9fYnqOu0hc4DQKe</t>
  </si>
  <si>
    <t>https://drive.google.com/open?id=1pYks8V2wSs_WgX0Rv0XkbCbvN3n16Poi</t>
  </si>
  <si>
    <t>https://drive.google.com/open?id=1H2oOCwuuqyly6jJxop5GrZmdIQLPasoW</t>
  </si>
  <si>
    <t>https://drive.google.com/open?id=165t6TPaft5Lx_rEalYLjPCQSZMrXZtwz</t>
  </si>
  <si>
    <t>https://drive.google.com/open?id=1H-ZP3lV81dxNpCkJ1HepiobezHQse1fa</t>
  </si>
  <si>
    <t>https://drive.google.com/open?id=15_IQW5AMN-66GEIzkZKDpgic5bwDHbqZ</t>
  </si>
  <si>
    <t>RISKA YULITA</t>
  </si>
  <si>
    <t>1271064112890001</t>
  </si>
  <si>
    <t>TITIPAPAN</t>
  </si>
  <si>
    <t>RISKAYULITA813@GMAIL.COM</t>
  </si>
  <si>
    <t>085380818068</t>
  </si>
  <si>
    <t>JLN.PLATINA 1 LK 7 TITIPAPAN</t>
  </si>
  <si>
    <t>158/49</t>
  </si>
  <si>
    <t>1</t>
  </si>
  <si>
    <t>1271060506200018</t>
  </si>
  <si>
    <t>TENGKU ANITASARI DEWITA</t>
  </si>
  <si>
    <t>SPG DETTOL
BA PIXY
EVENT ENERGEN
EVENT YEOS
EVENT ZESPRI KIWI
EVENT SASA DLL</t>
  </si>
  <si>
    <t>https://drive.google.com/open?id=1fiQb37vK5bhpJIQamjTnrijC_9-iPp32</t>
  </si>
  <si>
    <t>https://drive.google.com/open?id=1gr-4efOvLaYysCfkbrwYwsIEwaT_Asxr</t>
  </si>
  <si>
    <t>https://drive.google.com/open?id=1k6gmAnuhyIoFaOdjnLr_yuSd4hu71UVl</t>
  </si>
  <si>
    <t>https://drive.google.com/open?id=1qFxlnsfZMmUgH4xpUqItw4FDq8L8jRFr</t>
  </si>
  <si>
    <t>https://drive.google.com/open?id=1TDTQ_4Ho8UYcQBsmGXzTtASsfNn9xzEm</t>
  </si>
  <si>
    <t>https://drive.google.com/open?id=1r936s3x3wPCMbocpZ5JOzNJMedmtSQDf</t>
  </si>
  <si>
    <t>https://drive.google.com/open?id=1FEPYnTLX6Dv4N3mkgsTu8B1TzkByXlCL</t>
  </si>
  <si>
    <t>https://drive.google.com/open?id=1N9zPFOC9yd9w6Bdco01CS28S3fICMSBm</t>
  </si>
  <si>
    <t>IRIAN MARELAN</t>
  </si>
  <si>
    <t>RADYA ALIZA</t>
  </si>
  <si>
    <t>1207216703020002</t>
  </si>
  <si>
    <t>RADYAALYZA27.2002@GMAIL.COM</t>
  </si>
  <si>
    <t>085760182622</t>
  </si>
  <si>
    <t>KP TAMBENG GG KAPLINGAN 1</t>
  </si>
  <si>
    <t>https://drive.google.com/open?id=1MaFATby0loNKI4l3ySfjUxVbpFYU8fQK</t>
  </si>
  <si>
    <t>07270203000165</t>
  </si>
  <si>
    <t>1207211609091386</t>
  </si>
  <si>
    <t>MIDAWATI SILALAHI</t>
  </si>
  <si>
    <t>SPG KIWI ZESPRI, SPG AICE CREAM</t>
  </si>
  <si>
    <t>https://drive.google.com/open?id=1rtPLbKYuulTlaqofMu6Ao3h_bF4js3RC</t>
  </si>
  <si>
    <t>https://drive.google.com/open?id=1lSaVb00W8xkpp5g7vWA3wFJ5bD3tZHIM</t>
  </si>
  <si>
    <t>https://drive.google.com/open?id=1CXhMY8F99dzrpOVNgDYr9SLk_UmKsNNR</t>
  </si>
  <si>
    <t>https://drive.google.com/open?id=1NKbJ94aDkSRvBrcmf7PNmWV-KjFdYhgs</t>
  </si>
  <si>
    <t>https://drive.google.com/open?id=1XByu_m5SrKHwLsIb2d2AURyz5Z7C5qvM</t>
  </si>
  <si>
    <t>https://drive.google.com/open?id=1ZcDcJypAZm5_7YwDMgzcAdAerimFTQV6</t>
  </si>
  <si>
    <t>https://drive.google.com/open?id=1W9oLTQ8RHUY8gf_RO7E2lhdNjsVs5RJ3</t>
  </si>
  <si>
    <t>BRASTAGI CEMARA</t>
  </si>
  <si>
    <t>RAHMI SYAHFITRI</t>
  </si>
  <si>
    <t>https://drive.google.com/open?id=1dOKFl5PnbW39lC01bo2mZQN9FzdKODiF</t>
  </si>
  <si>
    <t>1207216710930003</t>
  </si>
  <si>
    <t>RAHMISYAHFITRI2710@GMAIL.COM</t>
  </si>
  <si>
    <t>082273754665</t>
  </si>
  <si>
    <t>JL KP TAMBENG GG KAPLINGAN 1 MARENDAL 2</t>
  </si>
  <si>
    <t>160/63</t>
  </si>
  <si>
    <t>1207210304200002</t>
  </si>
  <si>
    <t>SPG EVENT KIWI, WOW SPAGETTI, DUA KELINCI, AICE DLL</t>
  </si>
  <si>
    <t>https://drive.google.com/open?id=1_Y36SgYBcC-gMsQi74z4HYMrSsfniYzH</t>
  </si>
  <si>
    <t>https://drive.google.com/open?id=1NmFUp4qG1Vr9035X8C5V7u7UpCD6VjzI</t>
  </si>
  <si>
    <t>https://drive.google.com/open?id=1oYxthg0mT4lOLpmokFVs6QNEH-8x-X8r</t>
  </si>
  <si>
    <t>https://drive.google.com/open?id=1uahQBQD0F6Dv5RE7pPhE_RRVTk-1mr_d</t>
  </si>
  <si>
    <t>https://drive.google.com/open?id=171vEZD1_-Dv4Qds9uyBhvuJOhO61GZv-</t>
  </si>
  <si>
    <t>https://drive.google.com/open?id=199apNnHwrn-gYgX6mwjhABeoWAzN7CQX</t>
  </si>
  <si>
    <t>https://drive.google.com/open?id=1zRCW_58UvNK6sNNIfecGSOjgi2vUjeks</t>
  </si>
  <si>
    <t xml:space="preserve">MAYANG SARI </t>
  </si>
  <si>
    <t>1207244811000003</t>
  </si>
  <si>
    <t xml:space="preserve">MEDAN </t>
  </si>
  <si>
    <t>SARIMADU731@GMAIL.COM</t>
  </si>
  <si>
    <t>085767041735</t>
  </si>
  <si>
    <t xml:space="preserve">DUSUN 1 PASAR V GG FAMILI LAMA </t>
  </si>
  <si>
    <t>160/60</t>
  </si>
  <si>
    <t>1207241106230011</t>
  </si>
  <si>
    <t xml:space="preserve">SPG KITASHI SPG BABY MAX SPG GENTLE GEN , SPG CWC MAYORA , SPG LAVITA , SPG WOW </t>
  </si>
  <si>
    <t xml:space="preserve">DUSUN 1 PASAR V GG FAMILI </t>
  </si>
  <si>
    <t xml:space="preserve">DELI SERDANG </t>
  </si>
  <si>
    <t>https://drive.google.com/open?id=1kpuyiB27mPX3ZduVyx7nbsMXEHVgQ5bD</t>
  </si>
  <si>
    <t>https://drive.google.com/open?id=1FH0mTpROJT1RJiK-wf-hDAeo5SU6JXkk</t>
  </si>
  <si>
    <t>https://drive.google.com/open?id=1vHXxBUClXyiA4bpKf9hqy13Mmyn6Mhfl</t>
  </si>
  <si>
    <t>https://drive.google.com/open?id=1mVowggON-YBFS_CZrc1F6k_kDJBECkrF</t>
  </si>
  <si>
    <t>https://drive.google.com/open?id=1jUJWEFJEe0VLV1cfV9NpOp_upvQ9AF83</t>
  </si>
  <si>
    <t>https://drive.google.com/open?id=1mm6Wa8heVEr80um_URbv6nEyGfT-zir4</t>
  </si>
  <si>
    <t>https://drive.google.com/open?id=111D6L9jp6K3dHKRz6ae04-jyAoAcRk3Y</t>
  </si>
  <si>
    <t>IRIAN SETIA BUDI</t>
  </si>
  <si>
    <t>KRISTINA BR SINAGA</t>
  </si>
  <si>
    <t>1271146210920002</t>
  </si>
  <si>
    <t>KRISTINASINAGA837@GMAIL.COM</t>
  </si>
  <si>
    <t>082275799074</t>
  </si>
  <si>
    <t>JL PERJUANGAN GG TANJUNG NO 27</t>
  </si>
  <si>
    <t>163/55</t>
  </si>
  <si>
    <t>1271140906030007</t>
  </si>
  <si>
    <t>MINAR</t>
  </si>
  <si>
    <t>SPG MAYORA, KALBE, WINGS, UNILEVER, HERBORIS</t>
  </si>
  <si>
    <t>GATSU</t>
  </si>
  <si>
    <t>https://drive.google.com/open?id=1JXowBko5cimlRhx6ZNvih8Y78n_GPODZ</t>
  </si>
  <si>
    <t>https://drive.google.com/open?id=1Udl8wQ2FKblaJa1nFoL75k7zIgiohUj0</t>
  </si>
  <si>
    <t>https://drive.google.com/open?id=1mIHuuu5Q2qjcYMewvwzPjbXZBlO8wFBL</t>
  </si>
  <si>
    <t>https://drive.google.com/open?id=1BqNfzfq0udys0JvYKxqKWoN-2apZ3vSe</t>
  </si>
  <si>
    <t>https://drive.google.com/open?id=151YfNG2vp5gZRbhji17eL3VfEvyoMJwM</t>
  </si>
  <si>
    <t>https://drive.google.com/open?id=1UeyGjx3OzZ0CZBwL_8JtwSWn7uEOIzPB</t>
  </si>
  <si>
    <t>https://drive.google.com/open?id=1lJ8n4ZUcssUHqdaFpdJoqfr6pnrn29VO</t>
  </si>
  <si>
    <t>BRASTAGI GATOT SUBROTO</t>
  </si>
  <si>
    <t>RATIH DEWI SARI BR TAMBA</t>
  </si>
  <si>
    <t>1271054201950003</t>
  </si>
  <si>
    <t>RATIHDEWISARI0201@GMAIL.COM</t>
  </si>
  <si>
    <t>087716020701</t>
  </si>
  <si>
    <t>JL KL YOSUDARSO BLK PERTAMINA-3</t>
  </si>
  <si>
    <t>000</t>
  </si>
  <si>
    <t>1271051301220002</t>
  </si>
  <si>
    <t>LISNAWATI BR SIMANJUNTAK</t>
  </si>
  <si>
    <t xml:space="preserve">BEKERJA DI CV FOUNTAIN, BEKERJA DI SOGO SUN PLAZA, BEKERJA DI YAAFURNI, BEKERJA DI TOKO MINIMAL SUN PLAZA, BEKERJA DI BERNARDI </t>
  </si>
  <si>
    <t>JL GARU 3 GANG 2 NO 16C</t>
  </si>
  <si>
    <t>https://drive.google.com/open?id=1-dCMo5Tmm2dOB_h7WFqHwuJ5Eo82sMev</t>
  </si>
  <si>
    <t>https://drive.google.com/open?id=1CkO3D50WyF4BTH-ddWq383OkXPKoVLcX</t>
  </si>
  <si>
    <t>https://drive.google.com/open?id=1l9jA8czU0MDIE907CPpnu7lHay9hiIST</t>
  </si>
  <si>
    <t>https://drive.google.com/open?id=1flCQHV31M_ItHdfcLToOXE9MwIRGqXCt</t>
  </si>
  <si>
    <t>https://drive.google.com/open?id=1a7hx6s57PGntrHuNGbpJ3Lihtl2WvDZ4</t>
  </si>
  <si>
    <t>https://drive.google.com/open?id=11jAc4RrHzsoWaBEL1dYrqDHElwylTc6H</t>
  </si>
  <si>
    <t>https://drive.google.com/open?id=1ZiXnUJojZTUyyfEth3Hxtk56JzwBQON7</t>
  </si>
  <si>
    <t>TIUR MEWANI</t>
  </si>
  <si>
    <t>1207235307960008</t>
  </si>
  <si>
    <t>BATAM</t>
  </si>
  <si>
    <t>TIURMEWANI96@GMAIL.COM</t>
  </si>
  <si>
    <t>082166963709</t>
  </si>
  <si>
    <t>DUSUN VII GG KELUARGA NO 16 DISKI</t>
  </si>
  <si>
    <t>BRASTAGI TIARA</t>
  </si>
  <si>
    <t>07149607000874</t>
  </si>
  <si>
    <t>1207232009097184</t>
  </si>
  <si>
    <t>EMI</t>
  </si>
  <si>
    <t>??? SPG REG FLIMTY
??? SPG REG KONICARE
??? SPG REG INDOFOOD 
??? SPG EVENT RASA MASA 
??? SPG EVENT SAMONO
??? SPG EVENT SOSOFT
??? SPG EVENT MAMALEMON
??? SPG EVENT POSH 
??? SPG EVENT GOLDENFARM 
??? SPG EVENT TOP KOPI 
??? SPG EVENT MAMY POKO
??? SPG EVENT KANZLER 
??? SPG EVENT TRIX
??? SPG EVENT CARNATION
??? SPG EVENT DANCAU 
??? SPG EVENT BEARBRAND
??? SPG EVENT ABC 
??? SPG EVENT PEPSODENT 
??? SPG  SPAGETI WOW
??? SPG EVENT BUMBU SEDAP
??? SPG EVENT REG KAPAL API</t>
  </si>
  <si>
    <t>9927678412500</t>
  </si>
  <si>
    <t>https://drive.google.com/open?id=1Nw1V66k3KHyHa-pvuMDwr9s5jdJuPHXx</t>
  </si>
  <si>
    <t>https://drive.google.com/open?id=1zf2yQxYCYj9fKS40A0APRh8LQ_Q1obuj</t>
  </si>
  <si>
    <t>https://drive.google.com/open?id=1xkDQq4mhC76Q5-tYy4TFT7vfSHTOOsfD</t>
  </si>
  <si>
    <t>https://drive.google.com/open?id=1ecf7nniluepESDvHU1f0LT86iZmMz-ID</t>
  </si>
  <si>
    <t>https://drive.google.com/open?id=1iXsfAGOFx1mVDfPXUrFDh_XN27FoqqCI</t>
  </si>
  <si>
    <t>https://drive.google.com/open?id=1hwaHP5cTDXMg1RpHgxqQe0gUTRKT4goj</t>
  </si>
  <si>
    <t>https://drive.google.com/open?id=17_3nJolrDtvNsDtX6ITOEo5wW98gqMWi</t>
  </si>
  <si>
    <t>ROSNANI</t>
  </si>
  <si>
    <t>1271194811880001</t>
  </si>
  <si>
    <t>ROSNANIII792@GMAIL.COM</t>
  </si>
  <si>
    <t>081269092849</t>
  </si>
  <si>
    <t>INDOGROSIR MEDAN</t>
  </si>
  <si>
    <t>JALAN GATOT SUBROTO GG BANTENG</t>
  </si>
  <si>
    <t>1271032204260010</t>
  </si>
  <si>
    <t>YARNITATI</t>
  </si>
  <si>
    <t>00</t>
  </si>
  <si>
    <t>JALAN KELAMBIR V GG. SAHABAT BARU</t>
  </si>
  <si>
    <t>https://drive.google.com/open?id=1q63ikU73KO6NyhsOqW3bd4Pb6lfQVDqu</t>
  </si>
  <si>
    <t>https://drive.google.com/open?id=1bKczbCJXs4nSfCnRqFJQmM5--ufKSsCu</t>
  </si>
  <si>
    <t>https://drive.google.com/open?id=12M4PvZznGzTMV9diNLndy19lBSv31FHj</t>
  </si>
  <si>
    <t>https://drive.google.com/open?id=1o5R8n5qe2OQWhUKijTruf9xr8vyyt4qA</t>
  </si>
  <si>
    <t>https://drive.google.com/open?id=1OqzrEDjVbP_iRUyq5qiyQaFTJZ8YmnRZ</t>
  </si>
  <si>
    <t>https://drive.google.com/open?id=1HKo5uZ2wox3SAomsdSG6aD7xeFAZ9sMV</t>
  </si>
  <si>
    <t>https://drive.google.com/open?id=1mMkjort--ANkXK0r0RJ0QikWkhvp174e</t>
  </si>
  <si>
    <t>EVI VADILLA NUR CAHYANTI</t>
  </si>
  <si>
    <t>3522195510940001</t>
  </si>
  <si>
    <t>EVI.VADILLA15@GMAIL.COM</t>
  </si>
  <si>
    <t>082299222957</t>
  </si>
  <si>
    <t>KP SAWOLO RT/RW : 001/002 TANGGEUNG KEC. SAWOLO KABUPATEN CIANJUR</t>
  </si>
  <si>
    <t>158/51</t>
  </si>
  <si>
    <t>132567388993</t>
  </si>
  <si>
    <t>3203191203210002</t>
  </si>
  <si>
    <t>ENDANG WIDIYANTI</t>
  </si>
  <si>
    <t>SPG EVENT PT.SIPRAMA CAKRAWALA</t>
  </si>
  <si>
    <t>KABUPATEN BLORA</t>
  </si>
  <si>
    <t>KABUPATEN BOJONEGORO</t>
  </si>
  <si>
    <t>https://drive.google.com/open?id=1D1a7Tv4vkOJygJQYAeEZPu3c6iyOq-CB</t>
  </si>
  <si>
    <t>https://drive.google.com/open?id=1QRxWeGxwo5JIlobmvMvwZfjh921coiWk</t>
  </si>
  <si>
    <t>https://drive.google.com/open?id=1EKrCapbtBa432_3D10XXOL2e40UNz2rm</t>
  </si>
  <si>
    <t>https://drive.google.com/open?id=1wxN0DLvn4HYBY29TygHnYfK9FnX53WyP</t>
  </si>
  <si>
    <t>https://drive.google.com/open?id=1NvnZoVCf6-0iqt22z1cL7VIk7TLmlB3P</t>
  </si>
  <si>
    <t>https://drive.google.com/open?id=1PBpBlMDBbQhLam7tqw2_fuKaokGTFyCl</t>
  </si>
  <si>
    <t>https://drive.google.com/open?id=17Dr_VYpMKooqW2Jmn8k86eegQlPpEq4E</t>
  </si>
  <si>
    <t xml:space="preserve">LILIN INDAH SARI </t>
  </si>
  <si>
    <t>3316055107980003</t>
  </si>
  <si>
    <t>GISELVALERIPUTRI@GMAIL.COM</t>
  </si>
  <si>
    <t>085643002923</t>
  </si>
  <si>
    <t xml:space="preserve">DESA MULYOREJO RT 3 RW 1 CEPU </t>
  </si>
  <si>
    <t xml:space="preserve">JUMINAH </t>
  </si>
  <si>
    <t xml:space="preserve">SPG FASHION DI BRAVO CEPU DAN SPG EVENT PT IMPACT POWER MANDIRI </t>
  </si>
  <si>
    <t>LILIN INDAH SARI</t>
  </si>
  <si>
    <t xml:space="preserve">DESA MULYOREJO RT 6 RW 1 CEPU BLORA </t>
  </si>
  <si>
    <t xml:space="preserve">CEPU BLORA </t>
  </si>
  <si>
    <t>https://drive.google.com/open?id=1dL8pwFyLL4AAZKnL8RosNVUrNgqFhBBm</t>
  </si>
  <si>
    <t>https://drive.google.com/open?id=157h8A1yuxVfjUZUs2lCjDVkIeHOmyAWl</t>
  </si>
  <si>
    <t>https://drive.google.com/open?id=19tV-XlTSWDhmRUsvUUz-ks4okjUWKplI</t>
  </si>
  <si>
    <t>https://drive.google.com/open?id=1fAnv37aSt_KMwQKHOKVmCH7wQD44r5v4</t>
  </si>
  <si>
    <t>https://drive.google.com/open?id=1TlW3pa9sCo-oTJXkbBj2G1yPcVGR9TCf</t>
  </si>
  <si>
    <t>https://drive.google.com/open?id=17nDo1aN22N2EUMvNGqWegBVO0LidAD3R</t>
  </si>
  <si>
    <t>https://drive.google.com/open?id=1lpMPj-6kVgXO6x0vgGU2VlJeEHs8t1iG</t>
  </si>
  <si>
    <t>ADE NOVILIANTI</t>
  </si>
  <si>
    <t>6471025211990005</t>
  </si>
  <si>
    <t>BALIKPAPAN</t>
  </si>
  <si>
    <t>ADENOVILIANTI67@GMAIL.COM</t>
  </si>
  <si>
    <t>085129679665</t>
  </si>
  <si>
    <t>JLN AL-FALAH RT 30 NO 73</t>
  </si>
  <si>
    <t>46/150</t>
  </si>
  <si>
    <t>05929559</t>
  </si>
  <si>
    <t>6471021612200007</t>
  </si>
  <si>
    <t>JUMAHAYATI</t>
  </si>
  <si>
    <t>GAJAH MADA DEPT STORE PRAMUNIAGA
ALFAMIDI KASIR 
RAMAYANA RAPAK SPG
MATAHARI SPG
PT BISTEM JAYA MANDIRI SPG</t>
  </si>
  <si>
    <t>BALIKAPAPAN</t>
  </si>
  <si>
    <t>https://drive.google.com/open?id=1rmsEYCZxdETG5hkm6GRWwgnV1jHrDjnw</t>
  </si>
  <si>
    <t>https://drive.google.com/open?id=1IKOVZkdmJQ4wtuI7Dv72PSteGgl7fApC</t>
  </si>
  <si>
    <t>https://drive.google.com/open?id=1QVf5eqEfUr_ETrrTkVJqQMuziX-tBvuF</t>
  </si>
  <si>
    <t>https://drive.google.com/open?id=1tRYuYkI5aGt9e8mOFp1uqMKP8r6FPkfW</t>
  </si>
  <si>
    <t>https://drive.google.com/open?id=1ueBEWLOdwczFIGO4Ia3-kYReO9IKsOvd</t>
  </si>
  <si>
    <t>https://drive.google.com/open?id=10YMOvGnOdfElqliZgs4Hnx3DiI5xD8ZU</t>
  </si>
  <si>
    <t>https://drive.google.com/open?id=1suA5W-yRktB9ztT-3TGfaBdFLcRMhyL6</t>
  </si>
  <si>
    <t>YOVA SUPERMART GN MALANG</t>
  </si>
  <si>
    <t>INDRIYANI</t>
  </si>
  <si>
    <t>DAHLYA RUSDIANTI</t>
  </si>
  <si>
    <t>6471025508980001</t>
  </si>
  <si>
    <t>RUSDIANTI69469@GMAIL.COM</t>
  </si>
  <si>
    <t>ANGGITA PUTRI</t>
  </si>
  <si>
    <t>089652254070</t>
  </si>
  <si>
    <t>1271145810020003</t>
  </si>
  <si>
    <t>JL ALFALAH RT 30 NO 73</t>
  </si>
  <si>
    <t>18-Okt-2002</t>
  </si>
  <si>
    <t>anggitaputrii444@gmail.com</t>
  </si>
  <si>
    <t>083899740470</t>
  </si>
  <si>
    <t>6471022005190004</t>
  </si>
  <si>
    <t>DARA MATASIA</t>
  </si>
  <si>
    <t>KASIR XXI</t>
  </si>
  <si>
    <t>JL.PERTIWI BARU NO. 23 LK X RT 002/ RW 001 KELURAHAN BANTAN KECAMATAN MEDAN TEMBUNG</t>
  </si>
  <si>
    <t>167/60</t>
  </si>
  <si>
    <t>8194683872100</t>
  </si>
  <si>
    <t>1271140507070063</t>
  </si>
  <si>
    <t>LIA WATI</t>
  </si>
  <si>
    <t>JL ALFALAH</t>
  </si>
  <si>
    <t>ACCESSORIES HANDPHONE</t>
  </si>
  <si>
    <t>JL. PERTIWI BARU NO 23 LK X RT 002/ RW 001 KELURAHAN BANTAN KECAMATAN MEDAN TEMBUNG</t>
  </si>
  <si>
    <t>https://drive.google.com/open?id=1VzXdeO4li3icoLCsk08-sXDEyYBQmZZt</t>
  </si>
  <si>
    <t>https://drive.google.com/open?id=1KgbB1zRERQbDifn3vQ73lK-hMdIUJEpJ</t>
  </si>
  <si>
    <t>https://drive.google.com/open?id=1-GsjZi4lH73S4m0gcZsYfFqxHSRDY_mo</t>
  </si>
  <si>
    <t>https://drive.google.com/open?id=1O0TjZ3rXrSrh-wUjmdWsnAYVXQ3YiNNM</t>
  </si>
  <si>
    <t>https://drive.google.com/open?id=1LraWGFOeHKzfjtEwquAbTAiWPStfRFgW</t>
  </si>
  <si>
    <t>https://drive.google.com/open?id=1A8OZyand5xRxaY3AlyNKqXKecfjxStoO</t>
  </si>
  <si>
    <t>https://drive.google.com/open?id=1TthjKUqNIV5DZyp6oMtHIrWVi2abWfYm</t>
  </si>
  <si>
    <t>https://drive.google.com/open?id=10L72DC8G_uc9hrvFSV_LYw3v0fAjcSV2</t>
  </si>
  <si>
    <t>RENI SETIANA</t>
  </si>
  <si>
    <t>6471054109950008</t>
  </si>
  <si>
    <t>ALZENALARA@GMAIL.COM</t>
  </si>
  <si>
    <t>087742840114</t>
  </si>
  <si>
    <t>JL TANJUNG PURA RT 20 NO 24</t>
  </si>
  <si>
    <t>17149509000158</t>
  </si>
  <si>
    <t>6471062605250003</t>
  </si>
  <si>
    <t>SUPARTINI</t>
  </si>
  <si>
    <t>https://drive.google.com/open?id=1K-L4-f3Ma0ukGSIl6oMDRbPwKs4j0Nmu</t>
  </si>
  <si>
    <t>https://drive.google.com/open?id=1HA_v2q62G_fhNXA9yTavhgDhqj9EFYp0</t>
  </si>
  <si>
    <t>https://drive.google.com/open?id=17r3hW15RRf189YM6LMCmeojfyDhW4UP7</t>
  </si>
  <si>
    <t>https://drive.google.com/open?id=1s_KEnS0gda6j4lZpZzxOjoDbljQEs5eH</t>
  </si>
  <si>
    <t>https://drive.google.com/open?id=1Mvgb_38QWSq1xC7JeUUf2kNlRQGHNtwI</t>
  </si>
  <si>
    <t>https://drive.google.com/open?id=1hNWz6fA7o0XMeyOKxWr0LAGOUzeJ3Aea</t>
  </si>
  <si>
    <t>https://drive.google.com/open?id=1sXQlgrCUl34RtlvWV9xiA1wyKybv3HQN</t>
  </si>
  <si>
    <t>https://drive.google.com/open?id=1xxiHp5srn_8W5Ex1zCM1mvMY8InQS6xa</t>
  </si>
  <si>
    <t>https://drive.google.com/open?id=1ASAke4HFCUq19NBEimhH0MrXPAs1I30t</t>
  </si>
  <si>
    <t>https://drive.google.com/open?id=1Je95sr7c2t8gNAg5PVN7RmG7_VSwQILg</t>
  </si>
  <si>
    <t>https://drive.google.com/open?id=1SHsaaiS10WVf0rvUPJtRaU3owu9meWke</t>
  </si>
  <si>
    <t>https://drive.google.com/open?id=1L62dfPergNZtmQ8KuP-_3UBKmxTx1-HZ</t>
  </si>
  <si>
    <t>https://drive.google.com/open?id=1thHHTRs2RbKnkm289iaVoymlWs5Ll25t</t>
  </si>
  <si>
    <t>PUTRI NOVIYAWANTI</t>
  </si>
  <si>
    <t>1271146911900010</t>
  </si>
  <si>
    <t>Putri.noviyanti2990@gmail.com</t>
  </si>
  <si>
    <t>085763923991</t>
  </si>
  <si>
    <t>JLN GAHARU ASRAMA SINGGASANA 3 K.167</t>
  </si>
  <si>
    <t>TK/2</t>
  </si>
  <si>
    <t>158/48</t>
  </si>
  <si>
    <t>TIDAK ADA</t>
  </si>
  <si>
    <t>1271200402210001</t>
  </si>
  <si>
    <t>NORMAWATI</t>
  </si>
  <si>
    <t>EVENT ZESPRI (BUAH KIWI)</t>
  </si>
  <si>
    <t>SHINTA FEBRIYAWANTI</t>
  </si>
  <si>
    <t>ADIK</t>
  </si>
  <si>
    <t>https://drive.google.com/open?id=1ET2mevfel5iBtbsTUbehj9Tidju-A8uj</t>
  </si>
  <si>
    <t>https://drive.google.com/open?id=1_8h6YzeA36IgxnYYrUER8_fKS4sKZ1jT</t>
  </si>
  <si>
    <t>https://drive.google.com/open?id=17X6_ImRYXpwXHWMFMX3GH9HWx_G-RdVo</t>
  </si>
  <si>
    <t>https://drive.google.com/open?id=1SAFeOYelODiHW3t-1IQfx5-qnJgD4D-b</t>
  </si>
  <si>
    <t>https://drive.google.com/open?id=1yJIrEJc6lxbJQQ-P2LYotrzIUsmW4-L_</t>
  </si>
  <si>
    <t>https://drive.google.com/open?id=13nt3ArikrZXePE05s18qA6oQpksQej9x</t>
  </si>
  <si>
    <t>https://drive.google.com/open?id=1j6EXawixguANLs0yL7aMrqqz-TwpJqUL</t>
  </si>
  <si>
    <t>RIA RIZKIANA</t>
  </si>
  <si>
    <t>3321120208960005</t>
  </si>
  <si>
    <t>DEMAK</t>
  </si>
  <si>
    <t>riariaa4321@gmail.com</t>
  </si>
  <si>
    <t>088971000144</t>
  </si>
  <si>
    <t>WEDING BONANG DEMAK</t>
  </si>
  <si>
    <t>165/55</t>
  </si>
  <si>
    <t>3321121201160008</t>
  </si>
  <si>
    <t>MUATINAH ALM</t>
  </si>
  <si>
    <t>SPG PARFUM MORIS SELAMA 1 TAHUN</t>
  </si>
  <si>
    <t>WEDING TIMUR RT01 RW 05 KECAMATAN BONANG KABUPATEN DEMAK</t>
  </si>
  <si>
    <t>RAHMATUN NAZILAH</t>
  </si>
  <si>
    <t>https://drive.google.com/open?id=1lxzi2xw8gGe9nu0abH2db2QduJWGr53C</t>
  </si>
  <si>
    <t>https://drive.google.com/open?id=1CqRdIl9yWkcMYw6aOViHF9Zqfm9esqBD</t>
  </si>
  <si>
    <t>https://drive.google.com/open?id=1XDVzVTTDDHNsfNml09bj3ZFdMliKjeGg</t>
  </si>
  <si>
    <t>https://drive.google.com/open?id=1uulWTIkgHZLzefScCd-18eusFG_r7DJ8</t>
  </si>
  <si>
    <t>NOVIANTI</t>
  </si>
  <si>
    <t>3305134111990004</t>
  </si>
  <si>
    <t>KEBUMEN</t>
  </si>
  <si>
    <t>nnovianti724@gmail.com</t>
  </si>
  <si>
    <t>089649922273</t>
  </si>
  <si>
    <t>KEDAWUNG RT 03/RW 02 KEC PEJAGOAN KAB KEBUMEN</t>
  </si>
  <si>
    <t>157/51</t>
  </si>
  <si>
    <t>3305130201230006</t>
  </si>
  <si>
    <t>NUR KHAYATI</t>
  </si>
  <si>
    <t>SPG JSM</t>
  </si>
  <si>
    <t>KEDAWUNG RT 03 /RW 02 PEJAGOAN KAB KEBUMEN</t>
  </si>
  <si>
    <t>MARSONO</t>
  </si>
  <si>
    <t>https://drive.google.com/open?id=1b8--ClEKf5KW8AoBQnrIh4LVZC_bodFq</t>
  </si>
  <si>
    <t>https://drive.google.com/open?id=1GBkCXmxI3IWXn_SpgXhIXjU1mgFCddZw</t>
  </si>
  <si>
    <t>https://drive.google.com/open?id=1XA6f88TnFcwQHnAfaGmnaSR73mJgZYL0</t>
  </si>
  <si>
    <t>https://drive.google.com/open?id=1F3Uq2dhN0EpsSY1RZJ_DTEUh3TUd0OgZ</t>
  </si>
  <si>
    <t>FATMAH RAHAYU</t>
  </si>
  <si>
    <t>3301146007910005</t>
  </si>
  <si>
    <t>fatmarahayu92@gmail.com</t>
  </si>
  <si>
    <t>087777171138</t>
  </si>
  <si>
    <t>JL.CEMPAKA RT 06 /08 MULYASARI,KECAMATAN MAJENANG</t>
  </si>
  <si>
    <t>TK/1</t>
  </si>
  <si>
    <t>163/60</t>
  </si>
  <si>
    <t>3301143105210012</t>
  </si>
  <si>
    <t>SITI KHOSIYAH</t>
  </si>
  <si>
    <t>SALES TO DIPT SIANTAR TOP</t>
  </si>
  <si>
    <t>CILACAP BARAT MAJENANG</t>
  </si>
  <si>
    <t>MAJENANG KABUPATEN CILACAP</t>
  </si>
  <si>
    <t>UMI ZAKIYAH</t>
  </si>
  <si>
    <t>https://drive.google.com/open?id=1LTskOZubf-APbQiKcx76s1ETtexP9wXI</t>
  </si>
  <si>
    <t>https://drive.google.com/open?id=1iB6scP4SfWoHcB4A_JnmMGXmTtsqQ5hL</t>
  </si>
  <si>
    <t>https://drive.google.com/open?id=1Dmcvht8gaaAV8YxuSoTW4aABeqHlBAMV</t>
  </si>
  <si>
    <t>https://drive.google.com/open?id=1fegEJp5P2-FmjWzVSrisJLfg129hji-o</t>
  </si>
  <si>
    <t>https://drive.google.com/open?id=1NjCRNuWu0RooKMsti8v9Q2JPaGeYO7yh</t>
  </si>
  <si>
    <t>IRIAN SPM - AKSARA</t>
  </si>
  <si>
    <t>IRIAN SPM - TEMBUNG</t>
  </si>
  <si>
    <t>ANEKA JAYA HADIWIJAYA</t>
  </si>
  <si>
    <t>JADIBARU KEBUMEN</t>
  </si>
  <si>
    <t>LAKSANA BARU, TK</t>
  </si>
  <si>
    <t>1060013583409</t>
  </si>
  <si>
    <t>1060016297346</t>
  </si>
  <si>
    <t>109201054251504</t>
  </si>
  <si>
    <t>8280497267</t>
  </si>
  <si>
    <t>6880456499</t>
  </si>
  <si>
    <t>4330713483</t>
  </si>
  <si>
    <t>1350020127567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</si>
</sst>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d&quot;-&quot;mmm&quot;-&quot;yy"/>
    <numFmt numFmtId="166" formatCode="00000"/>
    <numFmt numFmtId="167" formatCode="[$-409]dd\-mmm\-yy"/>
    <numFmt numFmtId="168" formatCode="d\-mmm\-yyyy"/>
  </numFmts>
  <fonts count="23" x14ac:knownFonts="1">
    <font>
      <sz val="10"/>
      <color rgb="FF000000"/>
      <name val="Arial"/>
      <scheme val="minor"/>
    </font>
    <font>
      <b/>
      <sz val="10"/>
      <color rgb="FFFFFFFF"/>
      <name val="Arial"/>
    </font>
    <font>
      <b/>
      <sz val="10"/>
      <color rgb="FFFFFFFF"/>
      <name val="Calibri"/>
    </font>
    <font>
      <sz val="10"/>
      <color theme="1"/>
      <name val="Arial"/>
      <scheme val="minor"/>
    </font>
    <font>
      <sz val="10"/>
      <color theme="1"/>
      <name val="Calibri"/>
    </font>
    <font>
      <sz val="9"/>
      <color theme="1"/>
      <name val="Arial"/>
      <scheme val="minor"/>
    </font>
    <font>
      <u/>
      <sz val="10"/>
      <color rgb="FF0563C1"/>
      <name val="Calibri"/>
    </font>
    <font>
      <u/>
      <sz val="10"/>
      <color rgb="FF0563C1"/>
      <name val="Calibri"/>
    </font>
    <font>
      <u/>
      <sz val="10"/>
      <color rgb="FF0563C1"/>
      <name val="Calibri"/>
    </font>
    <font>
      <u/>
      <sz val="10"/>
      <color rgb="FF0563C1"/>
      <name val="Calibri"/>
    </font>
    <font>
      <u/>
      <sz val="9"/>
      <color rgb="FF0000FF"/>
      <name val="Arial"/>
    </font>
    <font>
      <sz val="10"/>
      <color theme="1"/>
      <name val="Arial"/>
    </font>
    <font>
      <u/>
      <sz val="10"/>
      <color rgb="FF1155CC"/>
      <name val="Calibri"/>
    </font>
    <font>
      <u/>
      <sz val="10"/>
      <color rgb="FF0563C1"/>
      <name val="Calibri"/>
    </font>
    <font>
      <u/>
      <sz val="10"/>
      <color rgb="FF0000FF"/>
      <name val="Calibri"/>
    </font>
    <font>
      <u/>
      <sz val="10"/>
      <color rgb="FF1155CC"/>
      <name val="Calibri"/>
    </font>
    <font>
      <u/>
      <sz val="10"/>
      <color rgb="FF0563C1"/>
      <name val="Calibri"/>
    </font>
    <font>
      <u/>
      <sz val="10"/>
      <color rgb="FF0563C1"/>
      <name val="Calibri"/>
    </font>
    <font>
      <u/>
      <sz val="10"/>
      <color rgb="FF0000FF"/>
      <name val="Calibri"/>
    </font>
    <font>
      <u/>
      <sz val="10"/>
      <color rgb="FF0000FF"/>
      <name val="Calibri"/>
    </font>
    <font>
      <u/>
      <sz val="10"/>
      <color rgb="FF0563C1"/>
      <name val="Calibri"/>
    </font>
    <font>
      <u/>
      <sz val="10"/>
      <color rgb="FF0000FF"/>
      <name val="Calibri"/>
    </font>
    <font>
      <u/>
      <sz val="10"/>
      <color rgb="FF0000FF"/>
      <name val="Calibri"/>
    </font>
  </fonts>
  <fills count="6">
    <fill>
      <patternFill patternType="none"/>
    </fill>
    <fill>
      <patternFill patternType="gray125"/>
    </fill>
    <fill>
      <patternFill patternType="solid">
        <fgColor rgb="FF002060"/>
        <bgColor rgb="FF002060"/>
      </patternFill>
    </fill>
    <fill>
      <patternFill patternType="solid">
        <fgColor rgb="FF0070C0"/>
        <bgColor rgb="FF0070C0"/>
      </patternFill>
    </fill>
    <fill>
      <patternFill patternType="solid">
        <fgColor rgb="FFFFFFFF"/>
        <bgColor rgb="FFFFFFFF"/>
      </patternFill>
    </fill>
    <fill>
      <patternFill patternType="solid">
        <fgColor rgb="FFD9E2F3"/>
        <bgColor rgb="FFD9E2F3"/>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87">
    <xf numFmtId="0" fontId="0" fillId="0" borderId="0" xfId="0"/>
    <xf numFmtId="0" fontId="1" fillId="2" borderId="0" xfId="0" applyFont="1" applyFill="1" applyAlignment="1">
      <alignment horizontal="center"/>
    </xf>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164" fontId="2"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165" fontId="2" fillId="2" borderId="0" xfId="0" applyNumberFormat="1" applyFont="1" applyFill="1" applyAlignment="1">
      <alignment horizontal="center"/>
    </xf>
    <xf numFmtId="164" fontId="2" fillId="2" borderId="1" xfId="0" applyNumberFormat="1" applyFont="1" applyFill="1" applyBorder="1" applyAlignment="1">
      <alignment horizontal="center"/>
    </xf>
    <xf numFmtId="49" fontId="2" fillId="2" borderId="1" xfId="0" applyNumberFormat="1" applyFont="1" applyFill="1" applyBorder="1" applyAlignment="1">
      <alignment horizontal="center"/>
    </xf>
    <xf numFmtId="166" fontId="2" fillId="2" borderId="0" xfId="0" applyNumberFormat="1" applyFont="1" applyFill="1" applyAlignment="1">
      <alignment horizontal="center"/>
    </xf>
    <xf numFmtId="167" fontId="2" fillId="2" borderId="1" xfId="0" applyNumberFormat="1" applyFont="1" applyFill="1" applyBorder="1" applyAlignment="1">
      <alignment horizontal="center"/>
    </xf>
    <xf numFmtId="0" fontId="2" fillId="2" borderId="0" xfId="0" applyFont="1" applyFill="1" applyAlignment="1">
      <alignment horizontal="center" vertical="center"/>
    </xf>
    <xf numFmtId="166" fontId="2" fillId="2" borderId="1" xfId="0" applyNumberFormat="1" applyFont="1" applyFill="1" applyBorder="1" applyAlignment="1">
      <alignment horizontal="center"/>
    </xf>
    <xf numFmtId="0" fontId="2" fillId="3" borderId="1" xfId="0" applyFont="1" applyFill="1" applyBorder="1" applyAlignment="1">
      <alignment horizontal="center"/>
    </xf>
    <xf numFmtId="0" fontId="2" fillId="2" borderId="2" xfId="0" applyFont="1" applyFill="1" applyBorder="1" applyAlignment="1">
      <alignment horizontal="center"/>
    </xf>
    <xf numFmtId="0" fontId="3" fillId="0" borderId="2" xfId="0" applyFont="1" applyBorder="1"/>
    <xf numFmtId="164" fontId="2" fillId="3" borderId="1" xfId="0" applyNumberFormat="1" applyFont="1" applyFill="1" applyBorder="1" applyAlignment="1">
      <alignment horizontal="center" wrapText="1"/>
    </xf>
    <xf numFmtId="0" fontId="4" fillId="4" borderId="2" xfId="0" applyFont="1" applyFill="1" applyBorder="1" applyAlignment="1">
      <alignment horizontal="center"/>
    </xf>
    <xf numFmtId="1" fontId="4" fillId="4" borderId="2" xfId="0" applyNumberFormat="1" applyFont="1" applyFill="1" applyBorder="1" applyAlignment="1">
      <alignment horizontal="center"/>
    </xf>
    <xf numFmtId="0" fontId="2" fillId="3" borderId="3" xfId="0" applyFont="1" applyFill="1" applyBorder="1" applyAlignment="1">
      <alignment horizontal="center"/>
    </xf>
    <xf numFmtId="0" fontId="2" fillId="3" borderId="2" xfId="0" applyFont="1" applyFill="1" applyBorder="1" applyAlignment="1">
      <alignment horizontal="center"/>
    </xf>
    <xf numFmtId="164" fontId="4" fillId="4" borderId="2" xfId="0" applyNumberFormat="1" applyFont="1" applyFill="1" applyBorder="1" applyAlignment="1">
      <alignment horizontal="center"/>
    </xf>
    <xf numFmtId="49" fontId="4" fillId="4" borderId="2" xfId="0" quotePrefix="1" applyNumberFormat="1" applyFont="1" applyFill="1" applyBorder="1" applyAlignment="1">
      <alignment horizontal="center"/>
    </xf>
    <xf numFmtId="0" fontId="4" fillId="4" borderId="2" xfId="0" applyFont="1" applyFill="1" applyBorder="1" applyAlignment="1">
      <alignment horizontal="center" wrapText="1"/>
    </xf>
    <xf numFmtId="49" fontId="4" fillId="4" borderId="2" xfId="0" applyNumberFormat="1" applyFont="1" applyFill="1" applyBorder="1" applyAlignment="1">
      <alignment horizontal="center"/>
    </xf>
    <xf numFmtId="0" fontId="5" fillId="0" borderId="2" xfId="0" applyFont="1" applyBorder="1" applyAlignment="1">
      <alignment horizontal="center"/>
    </xf>
    <xf numFmtId="167" fontId="4" fillId="4" borderId="2" xfId="0" applyNumberFormat="1" applyFont="1" applyFill="1" applyBorder="1"/>
    <xf numFmtId="1" fontId="4" fillId="4" borderId="2" xfId="0" applyNumberFormat="1" applyFont="1" applyFill="1" applyBorder="1"/>
    <xf numFmtId="0" fontId="4" fillId="4" borderId="2" xfId="0" applyFont="1" applyFill="1" applyBorder="1"/>
    <xf numFmtId="0" fontId="4" fillId="0" borderId="2" xfId="0" applyFont="1" applyBorder="1"/>
    <xf numFmtId="0" fontId="4" fillId="0" borderId="2" xfId="0" applyFont="1" applyBorder="1" applyAlignment="1">
      <alignment horizontal="center"/>
    </xf>
    <xf numFmtId="0" fontId="6" fillId="4" borderId="2" xfId="0" applyFont="1" applyFill="1" applyBorder="1"/>
    <xf numFmtId="0" fontId="7" fillId="4" borderId="2" xfId="0" applyFont="1" applyFill="1" applyBorder="1"/>
    <xf numFmtId="0" fontId="8"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xf>
    <xf numFmtId="49" fontId="3" fillId="0" borderId="2" xfId="0" applyNumberFormat="1" applyFont="1" applyBorder="1" applyAlignment="1">
      <alignment horizontal="center"/>
    </xf>
    <xf numFmtId="0" fontId="4" fillId="4" borderId="0" xfId="0" applyFont="1" applyFill="1" applyAlignment="1">
      <alignment horizontal="left"/>
    </xf>
    <xf numFmtId="0" fontId="4" fillId="0" borderId="4" xfId="0" applyFont="1" applyBorder="1" applyAlignment="1">
      <alignment horizontal="center"/>
    </xf>
    <xf numFmtId="0" fontId="5" fillId="0" borderId="2" xfId="0" applyFont="1" applyBorder="1" applyAlignment="1">
      <alignment horizontal="center" vertical="center"/>
    </xf>
    <xf numFmtId="165" fontId="5" fillId="0" borderId="2" xfId="0" applyNumberFormat="1" applyFont="1" applyBorder="1" applyAlignment="1">
      <alignment horizontal="center"/>
    </xf>
    <xf numFmtId="0" fontId="4" fillId="5" borderId="2" xfId="0" applyFont="1" applyFill="1" applyBorder="1"/>
    <xf numFmtId="0" fontId="9" fillId="0" borderId="2" xfId="0" applyFont="1" applyBorder="1"/>
    <xf numFmtId="0" fontId="4" fillId="4" borderId="4" xfId="0" applyFont="1" applyFill="1" applyBorder="1" applyAlignment="1">
      <alignment horizontal="center"/>
    </xf>
    <xf numFmtId="0" fontId="10" fillId="0" borderId="2" xfId="0" applyFont="1" applyBorder="1" applyAlignment="1">
      <alignment horizontal="center" vertical="center"/>
    </xf>
    <xf numFmtId="0" fontId="4" fillId="4" borderId="5" xfId="0" applyFont="1" applyFill="1" applyBorder="1" applyAlignment="1">
      <alignment horizontal="center"/>
    </xf>
    <xf numFmtId="167" fontId="4" fillId="4" borderId="2" xfId="0" applyNumberFormat="1" applyFont="1" applyFill="1" applyBorder="1" applyAlignment="1">
      <alignment horizontal="center"/>
    </xf>
    <xf numFmtId="0" fontId="4" fillId="0" borderId="4" xfId="0" applyFont="1" applyBorder="1"/>
    <xf numFmtId="168" fontId="4" fillId="0" borderId="2" xfId="0" applyNumberFormat="1" applyFont="1" applyBorder="1" applyAlignment="1">
      <alignment horizontal="center"/>
    </xf>
    <xf numFmtId="0" fontId="11" fillId="0" borderId="2" xfId="0" applyFont="1" applyBorder="1"/>
    <xf numFmtId="0" fontId="12" fillId="0" borderId="2" xfId="0" applyFont="1" applyBorder="1" applyAlignment="1">
      <alignment horizontal="center"/>
    </xf>
    <xf numFmtId="0" fontId="4" fillId="4" borderId="6" xfId="0" applyFont="1" applyFill="1" applyBorder="1" applyAlignment="1">
      <alignment horizontal="center" wrapText="1"/>
    </xf>
    <xf numFmtId="0" fontId="4" fillId="0" borderId="7" xfId="0" applyFont="1" applyBorder="1"/>
    <xf numFmtId="0" fontId="13" fillId="4" borderId="6" xfId="0" applyFont="1" applyFill="1" applyBorder="1"/>
    <xf numFmtId="0" fontId="14" fillId="4" borderId="2" xfId="0" applyFont="1" applyFill="1" applyBorder="1" applyAlignment="1">
      <alignment horizontal="center"/>
    </xf>
    <xf numFmtId="0" fontId="15" fillId="0" borderId="2" xfId="0" applyFont="1" applyBorder="1" applyAlignment="1">
      <alignment horizontal="center"/>
    </xf>
    <xf numFmtId="0" fontId="4" fillId="0" borderId="2" xfId="0" applyFont="1" applyBorder="1" applyAlignment="1">
      <alignment horizontal="left"/>
    </xf>
    <xf numFmtId="0" fontId="3" fillId="0" borderId="2" xfId="0" applyFont="1" applyBorder="1" applyAlignment="1">
      <alignment horizontal="center"/>
    </xf>
    <xf numFmtId="0" fontId="3" fillId="0" borderId="0" xfId="0" applyFont="1" applyAlignment="1">
      <alignment horizontal="center" vertical="center"/>
    </xf>
    <xf numFmtId="1" fontId="4" fillId="0" borderId="2" xfId="0" applyNumberFormat="1" applyFont="1" applyBorder="1" applyAlignment="1">
      <alignment horizontal="center"/>
    </xf>
    <xf numFmtId="164" fontId="4" fillId="0" borderId="2" xfId="0" applyNumberFormat="1" applyFont="1" applyBorder="1" applyAlignment="1">
      <alignment horizontal="center"/>
    </xf>
    <xf numFmtId="49" fontId="4" fillId="0" borderId="2" xfId="0" quotePrefix="1" applyNumberFormat="1" applyFont="1" applyBorder="1" applyAlignment="1">
      <alignment horizontal="center"/>
    </xf>
    <xf numFmtId="0" fontId="4" fillId="0" borderId="2" xfId="0" applyFont="1" applyBorder="1" applyAlignment="1">
      <alignment horizontal="center" wrapText="1"/>
    </xf>
    <xf numFmtId="49" fontId="4" fillId="0" borderId="2" xfId="0" applyNumberFormat="1" applyFont="1" applyBorder="1" applyAlignment="1">
      <alignment horizontal="center"/>
    </xf>
    <xf numFmtId="0" fontId="4" fillId="4" borderId="6" xfId="0" applyFont="1" applyFill="1" applyBorder="1" applyAlignment="1">
      <alignment horizontal="center"/>
    </xf>
    <xf numFmtId="0" fontId="4" fillId="4" borderId="6" xfId="0" applyFont="1" applyFill="1" applyBorder="1"/>
    <xf numFmtId="1" fontId="16" fillId="0" borderId="2" xfId="0" applyNumberFormat="1" applyFont="1" applyBorder="1"/>
    <xf numFmtId="167" fontId="4" fillId="4" borderId="6" xfId="0" applyNumberFormat="1" applyFont="1" applyFill="1" applyBorder="1" applyAlignment="1">
      <alignment horizontal="center"/>
    </xf>
    <xf numFmtId="0" fontId="4" fillId="0" borderId="7" xfId="0" applyFont="1" applyBorder="1" applyAlignment="1">
      <alignment horizontal="center"/>
    </xf>
    <xf numFmtId="0" fontId="17" fillId="5" borderId="2" xfId="0" applyFont="1" applyFill="1" applyBorder="1"/>
    <xf numFmtId="0" fontId="18" fillId="4" borderId="2" xfId="0" applyFont="1" applyFill="1" applyBorder="1"/>
    <xf numFmtId="1" fontId="4" fillId="4" borderId="2" xfId="0" applyNumberFormat="1" applyFont="1" applyFill="1" applyBorder="1" applyAlignment="1">
      <alignment horizontal="left"/>
    </xf>
    <xf numFmtId="1" fontId="4" fillId="4" borderId="6" xfId="0" applyNumberFormat="1" applyFont="1" applyFill="1" applyBorder="1" applyAlignment="1">
      <alignment horizontal="center"/>
    </xf>
    <xf numFmtId="164" fontId="4" fillId="4" borderId="6" xfId="0" applyNumberFormat="1" applyFont="1" applyFill="1" applyBorder="1" applyAlignment="1">
      <alignment horizontal="center"/>
    </xf>
    <xf numFmtId="49" fontId="4" fillId="4" borderId="6" xfId="0" applyNumberFormat="1" applyFont="1" applyFill="1" applyBorder="1" applyAlignment="1">
      <alignment horizontal="center"/>
    </xf>
    <xf numFmtId="0" fontId="4" fillId="4" borderId="8" xfId="0" applyFont="1" applyFill="1" applyBorder="1" applyAlignment="1">
      <alignment horizontal="center"/>
    </xf>
    <xf numFmtId="1" fontId="19" fillId="4" borderId="2" xfId="0" applyNumberFormat="1" applyFont="1" applyFill="1" applyBorder="1" applyAlignment="1">
      <alignment horizontal="left"/>
    </xf>
    <xf numFmtId="0" fontId="11" fillId="4" borderId="2" xfId="0" applyFont="1" applyFill="1" applyBorder="1"/>
    <xf numFmtId="0" fontId="11" fillId="0" borderId="0" xfId="0" applyFont="1"/>
    <xf numFmtId="1" fontId="4" fillId="0" borderId="2" xfId="0" applyNumberFormat="1" applyFont="1" applyBorder="1"/>
    <xf numFmtId="0" fontId="20" fillId="4" borderId="2" xfId="0" applyFont="1" applyFill="1" applyBorder="1" applyAlignment="1">
      <alignment horizontal="left"/>
    </xf>
    <xf numFmtId="49" fontId="4" fillId="4" borderId="2" xfId="0" applyNumberFormat="1" applyFont="1" applyFill="1" applyBorder="1" applyAlignment="1">
      <alignment horizontal="left"/>
    </xf>
    <xf numFmtId="49" fontId="21" fillId="4" borderId="2" xfId="0" applyNumberFormat="1" applyFont="1" applyFill="1" applyBorder="1" applyAlignment="1">
      <alignment horizontal="left"/>
    </xf>
    <xf numFmtId="0" fontId="4" fillId="0" borderId="0" xfId="0" applyFont="1"/>
    <xf numFmtId="0" fontId="4" fillId="4" borderId="2" xfId="0" quotePrefix="1" applyFont="1" applyFill="1" applyBorder="1" applyAlignment="1">
      <alignment horizontal="center"/>
    </xf>
    <xf numFmtId="0" fontId="22" fillId="4"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5_IQW5AMN-66GEIzkZKDpgic5bwDHbqZ" TargetMode="External"/><Relationship Id="rId18" Type="http://schemas.openxmlformats.org/officeDocument/2006/relationships/hyperlink" Target="https://drive.google.com/open?id=17r3hW15RRf189YM6LMCmeojfyDhW4UP7" TargetMode="External"/><Relationship Id="rId26" Type="http://schemas.openxmlformats.org/officeDocument/2006/relationships/hyperlink" Target="https://drive.google.com/open?id=17X6_ImRYXpwXHWMFMX3GH9HWx_G-RdVo" TargetMode="External"/><Relationship Id="rId39" Type="http://schemas.openxmlformats.org/officeDocument/2006/relationships/hyperlink" Target="https://drive.google.com/open?id=1LTskOZubf-APbQiKcx76s1ETtexP9wXI" TargetMode="External"/><Relationship Id="rId21" Type="http://schemas.openxmlformats.org/officeDocument/2006/relationships/hyperlink" Target="https://drive.google.com/open?id=1SHsaaiS10WVf0rvUPJtRaU3owu9meWke" TargetMode="External"/><Relationship Id="rId34" Type="http://schemas.openxmlformats.org/officeDocument/2006/relationships/hyperlink" Target="https://drive.google.com/open?id=1uulWTIkgHZLzefScCd-18eusFG_r7DJ8" TargetMode="External"/><Relationship Id="rId42" Type="http://schemas.openxmlformats.org/officeDocument/2006/relationships/hyperlink" Target="https://drive.google.com/open?id=1fegEJp5P2-FmjWzVSrisJLfg129hji-o" TargetMode="External"/><Relationship Id="rId7" Type="http://schemas.openxmlformats.org/officeDocument/2006/relationships/hyperlink" Target="https://drive.google.com/open?id=1-XlNPU-vfrDLaBQAkyT9PufR1NfhVnn5" TargetMode="External"/><Relationship Id="rId2" Type="http://schemas.openxmlformats.org/officeDocument/2006/relationships/hyperlink" Target="https://drive.google.com/open?id=1kiTueXcrhmfQTn9Jur7NHSv1VQdlwauw" TargetMode="External"/><Relationship Id="rId16" Type="http://schemas.openxmlformats.org/officeDocument/2006/relationships/hyperlink" Target="https://drive.google.com/open?id=1dOKFl5PnbW39lC01bo2mZQN9FzdKODiF" TargetMode="External"/><Relationship Id="rId20" Type="http://schemas.openxmlformats.org/officeDocument/2006/relationships/hyperlink" Target="https://drive.google.com/open?id=1Je95sr7c2t8gNAg5PVN7RmG7_VSwQILg" TargetMode="External"/><Relationship Id="rId29" Type="http://schemas.openxmlformats.org/officeDocument/2006/relationships/hyperlink" Target="https://drive.google.com/open?id=13nt3ArikrZXePE05s18qA6oQpksQej9x" TargetMode="External"/><Relationship Id="rId41" Type="http://schemas.openxmlformats.org/officeDocument/2006/relationships/hyperlink" Target="https://drive.google.com/open?id=1Dmcvht8gaaAV8YxuSoTW4aABeqHlBAMV" TargetMode="External"/><Relationship Id="rId1" Type="http://schemas.openxmlformats.org/officeDocument/2006/relationships/hyperlink" Target="https://drive.google.com/open?id=1ydgqIKoclgfHAV5it-NFe3CzJfqQXBGd" TargetMode="External"/><Relationship Id="rId6" Type="http://schemas.openxmlformats.org/officeDocument/2006/relationships/hyperlink" Target="https://drive.google.com/open?id=188fNJlOdsKe8LPGqtegl1YubZwA5cB2n" TargetMode="External"/><Relationship Id="rId11" Type="http://schemas.openxmlformats.org/officeDocument/2006/relationships/hyperlink" Target="https://drive.google.com/open?id=1cnsgTlJvmE0mHnTWs_mV_YVTLB0nhjH2" TargetMode="External"/><Relationship Id="rId24" Type="http://schemas.openxmlformats.org/officeDocument/2006/relationships/hyperlink" Target="https://drive.google.com/open?id=1ET2mevfel5iBtbsTUbehj9Tidju-A8uj" TargetMode="External"/><Relationship Id="rId32" Type="http://schemas.openxmlformats.org/officeDocument/2006/relationships/hyperlink" Target="https://drive.google.com/open?id=1CqRdIl9yWkcMYw6aOViHF9Zqfm9esqBD" TargetMode="External"/><Relationship Id="rId37" Type="http://schemas.openxmlformats.org/officeDocument/2006/relationships/hyperlink" Target="https://drive.google.com/open?id=1XA6f88TnFcwQHnAfaGmnaSR73mJgZYL0" TargetMode="External"/><Relationship Id="rId40" Type="http://schemas.openxmlformats.org/officeDocument/2006/relationships/hyperlink" Target="https://drive.google.com/open?id=1iB6scP4SfWoHcB4A_JnmMGXmTtsqQ5hL" TargetMode="External"/><Relationship Id="rId5" Type="http://schemas.openxmlformats.org/officeDocument/2006/relationships/hyperlink" Target="https://drive.google.com/open?id=1WjAxh9OEcTTPgVNM4C17x-d5wUcyPIT7" TargetMode="External"/><Relationship Id="rId15" Type="http://schemas.openxmlformats.org/officeDocument/2006/relationships/hyperlink" Target="https://drive.google.com/open?id=1MaFATby0loNKI4l3ySfjUxVbpFYU8fQK" TargetMode="External"/><Relationship Id="rId23" Type="http://schemas.openxmlformats.org/officeDocument/2006/relationships/hyperlink" Target="https://drive.google.com/open?id=1thHHTRs2RbKnkm289iaVoymlWs5Ll25t" TargetMode="External"/><Relationship Id="rId28" Type="http://schemas.openxmlformats.org/officeDocument/2006/relationships/hyperlink" Target="https://drive.google.com/open?id=1yJIrEJc6lxbJQQ-P2LYotrzIUsmW4-L_" TargetMode="External"/><Relationship Id="rId36" Type="http://schemas.openxmlformats.org/officeDocument/2006/relationships/hyperlink" Target="https://drive.google.com/open?id=1GBkCXmxI3IWXn_SpgXhIXjU1mgFCddZw" TargetMode="External"/><Relationship Id="rId10" Type="http://schemas.openxmlformats.org/officeDocument/2006/relationships/hyperlink" Target="https://drive.google.com/open?id=1ndrB1S2SIgbjxunVfUn_-OF3LFM8K9BF" TargetMode="External"/><Relationship Id="rId19" Type="http://schemas.openxmlformats.org/officeDocument/2006/relationships/hyperlink" Target="https://drive.google.com/open?id=1ASAke4HFCUq19NBEimhH0MrXPAs1I30t" TargetMode="External"/><Relationship Id="rId31" Type="http://schemas.openxmlformats.org/officeDocument/2006/relationships/hyperlink" Target="https://drive.google.com/open?id=1lxzi2xw8gGe9nu0abH2db2QduJWGr53C" TargetMode="External"/><Relationship Id="rId4" Type="http://schemas.openxmlformats.org/officeDocument/2006/relationships/hyperlink" Target="https://drive.google.com/open?id=1fXM8_XlBXk1QQIiL40aU6c1oIfLk6EYu" TargetMode="External"/><Relationship Id="rId9" Type="http://schemas.openxmlformats.org/officeDocument/2006/relationships/hyperlink" Target="https://drive.google.com/open?id=1eV834w3EbpF25WTg66p5JAZ-rQQ6B0Ch" TargetMode="External"/><Relationship Id="rId14" Type="http://schemas.openxmlformats.org/officeDocument/2006/relationships/hyperlink" Target="https://drive.google.com/open?id=1fiQb37vK5bhpJIQamjTnrijC_9-iPp32" TargetMode="External"/><Relationship Id="rId22" Type="http://schemas.openxmlformats.org/officeDocument/2006/relationships/hyperlink" Target="https://drive.google.com/open?id=1L62dfPergNZtmQ8KuP-_3UBKmxTx1-HZ" TargetMode="External"/><Relationship Id="rId27" Type="http://schemas.openxmlformats.org/officeDocument/2006/relationships/hyperlink" Target="https://drive.google.com/open?id=1SAFeOYelODiHW3t-1IQfx5-qnJgD4D-b" TargetMode="External"/><Relationship Id="rId30" Type="http://schemas.openxmlformats.org/officeDocument/2006/relationships/hyperlink" Target="https://drive.google.com/open?id=1j6EXawixguANLs0yL7aMrqqz-TwpJqUL" TargetMode="External"/><Relationship Id="rId35" Type="http://schemas.openxmlformats.org/officeDocument/2006/relationships/hyperlink" Target="https://drive.google.com/open?id=1b8--ClEKf5KW8AoBQnrIh4LVZC_bodFq" TargetMode="External"/><Relationship Id="rId43" Type="http://schemas.openxmlformats.org/officeDocument/2006/relationships/hyperlink" Target="https://drive.google.com/open?id=1NjCRNuWu0RooKMsti8v9Q2JPaGeYO7yh" TargetMode="External"/><Relationship Id="rId8" Type="http://schemas.openxmlformats.org/officeDocument/2006/relationships/hyperlink" Target="https://drive.google.com/open?id=1IwSIhTwFF0orzvDKcYotMozMi-SSsiVJ" TargetMode="External"/><Relationship Id="rId3" Type="http://schemas.openxmlformats.org/officeDocument/2006/relationships/hyperlink" Target="https://drive.google.com/open?id=132JMpHN8jMTcUdNBU0UFcepaglJYHLVi" TargetMode="External"/><Relationship Id="rId12" Type="http://schemas.openxmlformats.org/officeDocument/2006/relationships/hyperlink" Target="https://drive.google.com/open?id=1-uJvqb9TpIl4kchSUPIFM_Zxb5GXa7Ct" TargetMode="External"/><Relationship Id="rId17" Type="http://schemas.openxmlformats.org/officeDocument/2006/relationships/hyperlink" Target="https://drive.google.com/open?id=1TthjKUqNIV5DZyp6oMtHIrWVi2abWfYm" TargetMode="External"/><Relationship Id="rId25" Type="http://schemas.openxmlformats.org/officeDocument/2006/relationships/hyperlink" Target="https://drive.google.com/open?id=1_8h6YzeA36IgxnYYrUER8_fKS4sKZ1jT" TargetMode="External"/><Relationship Id="rId33" Type="http://schemas.openxmlformats.org/officeDocument/2006/relationships/hyperlink" Target="https://drive.google.com/open?id=1XDVzVTTDDHNsfNml09bj3ZFdMliKjeGg" TargetMode="External"/><Relationship Id="rId38" Type="http://schemas.openxmlformats.org/officeDocument/2006/relationships/hyperlink" Target="https://drive.google.com/open?id=1F3Uq2dhN0EpsSY1RZJ_DTEUh3TUd0OgZ"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open?id=1pvkfje7cbsxsttgglrii9ue5jd5vdd4a" TargetMode="External"/><Relationship Id="rId3" Type="http://schemas.openxmlformats.org/officeDocument/2006/relationships/hyperlink" Target="https://drive.google.com/open?id=19uHhkuQ5UsBoGJiFZGuSKp8IYJIdTI1k" TargetMode="External"/><Relationship Id="rId7" Type="http://schemas.openxmlformats.org/officeDocument/2006/relationships/hyperlink" Target="https://drive.google.com/open?id=1myzgtsdd6g_ykzh8jqxz9ujthk3f3y9j" TargetMode="External"/><Relationship Id="rId2" Type="http://schemas.openxmlformats.org/officeDocument/2006/relationships/hyperlink" Target="https://drive.google.com/open?id=1B9DJUO4jhx64Xxncj8ENd7KaAanZGCtX" TargetMode="External"/><Relationship Id="rId1" Type="http://schemas.openxmlformats.org/officeDocument/2006/relationships/hyperlink" Target="https://drive.google.com/open?id=12wYWl0OtJjxhOTY5QtmVdUmCdj72npPr" TargetMode="External"/><Relationship Id="rId6" Type="http://schemas.openxmlformats.org/officeDocument/2006/relationships/hyperlink" Target="https://drive.google.com/open?id=1VF2dkxRM3l5Q4uDFcbvZeZz_eMXUz_QK" TargetMode="External"/><Relationship Id="rId5" Type="http://schemas.openxmlformats.org/officeDocument/2006/relationships/hyperlink" Target="https://drive.google.com/open?id=1TPQjWd-0pb4WG4Fb3_2i0YygjHNPYtf5" TargetMode="External"/><Relationship Id="rId4" Type="http://schemas.openxmlformats.org/officeDocument/2006/relationships/hyperlink" Target="mailto:ALYAMULIA07@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open?id=1m5GuDNaJfs_k-MWa2ex42X7JyvMCr3z8" TargetMode="External"/><Relationship Id="rId13" Type="http://schemas.openxmlformats.org/officeDocument/2006/relationships/hyperlink" Target="https://drive.google.com/open?id=1QFY5JlHFdAqR85BRsR7uWcETo_GdoEo4" TargetMode="External"/><Relationship Id="rId3" Type="http://schemas.openxmlformats.org/officeDocument/2006/relationships/hyperlink" Target="https://drive.google.com/open?id=1H8zSGHjajrNJ31E0kQGnvnLdV0TyWydD" TargetMode="External"/><Relationship Id="rId7" Type="http://schemas.openxmlformats.org/officeDocument/2006/relationships/hyperlink" Target="https://drive.google.com/open?id=1-MvpV-NENVHeWsvCuskQzJvdIbj53Zi8" TargetMode="External"/><Relationship Id="rId12" Type="http://schemas.openxmlformats.org/officeDocument/2006/relationships/hyperlink" Target="https://drive.google.com/open?id=11qJdf4aXpnAMj0clBnzVKDyqeYtQfecZ" TargetMode="External"/><Relationship Id="rId2" Type="http://schemas.openxmlformats.org/officeDocument/2006/relationships/hyperlink" Target="https://drive.google.com/open?id=1iBMYvt6omq8DLPYk5DopJ6Al7HSXVY91" TargetMode="External"/><Relationship Id="rId16" Type="http://schemas.openxmlformats.org/officeDocument/2006/relationships/hyperlink" Target="https://drive.google.com/open?id=1H56ODEtVQLMZ4lgo7OkQjpCq_e_auT8D" TargetMode="External"/><Relationship Id="rId1" Type="http://schemas.openxmlformats.org/officeDocument/2006/relationships/hyperlink" Target="https://drive.google.com/open?id=1ER3_GF2iGCc3SQ9dcHF_7uOzRNi_fufY" TargetMode="External"/><Relationship Id="rId6" Type="http://schemas.openxmlformats.org/officeDocument/2006/relationships/hyperlink" Target="https://drive.google.com/open?id=10Yi6sKzhAj7tYTZzqsTX52hztgO3QU-i" TargetMode="External"/><Relationship Id="rId11" Type="http://schemas.openxmlformats.org/officeDocument/2006/relationships/hyperlink" Target="https://drive.google.com/open?id=1LBfrgq8lJxp94MVBWXsXoC06GKvIzASZ" TargetMode="External"/><Relationship Id="rId5" Type="http://schemas.openxmlformats.org/officeDocument/2006/relationships/hyperlink" Target="https://drive.google.com/open?id=1xMsU2lGqdCCORzOuCtfpdA23Vnikdqnx" TargetMode="External"/><Relationship Id="rId15" Type="http://schemas.openxmlformats.org/officeDocument/2006/relationships/hyperlink" Target="https://drive.google.com/open?id=1k0F5vAIH5fHansVbWJ5ApurUWaCYIDdE" TargetMode="External"/><Relationship Id="rId10" Type="http://schemas.openxmlformats.org/officeDocument/2006/relationships/hyperlink" Target="https://drive.google.com/open?id=1sTOT5G5fRiz5VBqkIGKVIu978OQM6-tW" TargetMode="External"/><Relationship Id="rId4" Type="http://schemas.openxmlformats.org/officeDocument/2006/relationships/hyperlink" Target="https://drive.google.com/open?id=1ZtPLGf1hDolqFKIw_dvftY3JrsEaeNWc" TargetMode="External"/><Relationship Id="rId9" Type="http://schemas.openxmlformats.org/officeDocument/2006/relationships/hyperlink" Target="https://drive.google.com/open?id=1eXB2CbySgV1TbUXp5e1bN6m_ACLK-y2C" TargetMode="External"/><Relationship Id="rId14" Type="http://schemas.openxmlformats.org/officeDocument/2006/relationships/hyperlink" Target="https://drive.google.com/open?id=1KFCbVJzBVMxEeVkB5eRKfPegqmL2Co8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68"/>
  <sheetViews>
    <sheetView topLeftCell="AP1" workbookViewId="0">
      <selection activeCell="AT3" sqref="AT3"/>
    </sheetView>
  </sheetViews>
  <sheetFormatPr defaultColWidth="12.6640625" defaultRowHeight="15.75" customHeight="1" x14ac:dyDescent="0.25"/>
  <cols>
    <col min="1" max="1" width="5.6640625" customWidth="1"/>
    <col min="2" max="2" width="19" customWidth="1"/>
    <col min="3" max="3" width="17.88671875" customWidth="1"/>
    <col min="4" max="4" width="30.21875" customWidth="1"/>
    <col min="5" max="5" width="29.88671875" customWidth="1"/>
    <col min="6" max="6" width="15.88671875" customWidth="1"/>
    <col min="7" max="7" width="14" customWidth="1"/>
    <col min="8" max="8" width="9" customWidth="1"/>
    <col min="9" max="9" width="33.33203125" customWidth="1"/>
    <col min="10" max="10" width="12.6640625" customWidth="1"/>
    <col min="11" max="11" width="98.88671875" customWidth="1"/>
    <col min="12" max="12" width="9.88671875" customWidth="1"/>
    <col min="13" max="13" width="6.77734375" customWidth="1"/>
    <col min="14" max="14" width="7.21875" customWidth="1"/>
    <col min="15" max="15" width="7.33203125" customWidth="1"/>
    <col min="16" max="16" width="14.88671875" customWidth="1"/>
    <col min="17" max="17" width="16.77734375" customWidth="1"/>
    <col min="18" max="18" width="24.6640625" customWidth="1"/>
    <col min="19" max="19" width="136" customWidth="1"/>
    <col min="20" max="20" width="19.33203125" customWidth="1"/>
    <col min="21" max="21" width="24.88671875" customWidth="1"/>
    <col min="22" max="22" width="12.88671875" customWidth="1"/>
    <col min="23" max="23" width="14.88671875" customWidth="1"/>
    <col min="24" max="24" width="21.33203125" customWidth="1"/>
    <col min="25" max="25" width="10.88671875" customWidth="1"/>
    <col min="26" max="26" width="14.88671875" customWidth="1"/>
    <col min="27" max="27" width="29.88671875" customWidth="1"/>
    <col min="28" max="28" width="98.88671875" customWidth="1"/>
    <col min="29" max="29" width="25.33203125" customWidth="1"/>
    <col min="30" max="30" width="8.21875" customWidth="1"/>
    <col min="31" max="31" width="10.6640625" customWidth="1"/>
    <col min="32" max="32" width="18.77734375" customWidth="1"/>
    <col min="33" max="33" width="17.21875" customWidth="1"/>
    <col min="34" max="34" width="12.109375" customWidth="1"/>
    <col min="35" max="36" width="11.21875" customWidth="1"/>
    <col min="37" max="37" width="60.21875" customWidth="1"/>
    <col min="38" max="38" width="60.6640625" customWidth="1"/>
    <col min="39" max="39" width="60.33203125" customWidth="1"/>
    <col min="40" max="40" width="60" customWidth="1"/>
    <col min="41" max="41" width="60.6640625" customWidth="1"/>
    <col min="42" max="42" width="61.21875" customWidth="1"/>
    <col min="43" max="43" width="60.77734375" customWidth="1"/>
    <col min="44" max="47" width="24.88671875" customWidth="1"/>
  </cols>
  <sheetData>
    <row r="1" spans="1:47" ht="13.8" x14ac:dyDescent="0.3">
      <c r="A1" s="1" t="s">
        <v>0</v>
      </c>
      <c r="B1" s="4" t="s">
        <v>1</v>
      </c>
      <c r="C1" s="7" t="s">
        <v>2</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10" t="s">
        <v>34</v>
      </c>
      <c r="AI1" s="4" t="s">
        <v>35</v>
      </c>
      <c r="AJ1" s="4" t="s">
        <v>36</v>
      </c>
      <c r="AK1" s="4" t="s">
        <v>38</v>
      </c>
      <c r="AL1" s="4" t="s">
        <v>39</v>
      </c>
      <c r="AM1" s="4" t="s">
        <v>41</v>
      </c>
      <c r="AN1" s="4" t="s">
        <v>42</v>
      </c>
      <c r="AO1" s="4" t="s">
        <v>44</v>
      </c>
      <c r="AP1" s="4" t="s">
        <v>45</v>
      </c>
      <c r="AQ1" s="4" t="s">
        <v>46</v>
      </c>
      <c r="AR1" s="4" t="s">
        <v>47</v>
      </c>
      <c r="AS1" s="4" t="s">
        <v>50</v>
      </c>
      <c r="AT1" s="15" t="s">
        <v>53</v>
      </c>
      <c r="AU1" s="4"/>
    </row>
    <row r="2" spans="1:47" ht="15.75" customHeight="1" x14ac:dyDescent="0.3">
      <c r="A2" s="19">
        <v>19988</v>
      </c>
      <c r="B2" s="18" t="s">
        <v>57</v>
      </c>
      <c r="C2" s="22">
        <v>46171</v>
      </c>
      <c r="D2" s="18" t="s">
        <v>58</v>
      </c>
      <c r="E2" s="18" t="s">
        <v>59</v>
      </c>
      <c r="F2" s="23" t="s">
        <v>60</v>
      </c>
      <c r="G2" s="18" t="s">
        <v>63</v>
      </c>
      <c r="H2" s="22">
        <v>32685</v>
      </c>
      <c r="I2" s="18" t="s">
        <v>79</v>
      </c>
      <c r="J2" s="23" t="s">
        <v>82</v>
      </c>
      <c r="K2" s="18" t="s">
        <v>84</v>
      </c>
      <c r="L2" s="18" t="s">
        <v>85</v>
      </c>
      <c r="M2" s="18" t="s">
        <v>87</v>
      </c>
      <c r="N2" s="18" t="s">
        <v>89</v>
      </c>
      <c r="O2" s="18" t="s">
        <v>92</v>
      </c>
      <c r="P2" s="25" t="s">
        <v>94</v>
      </c>
      <c r="Q2" s="23" t="s">
        <v>96</v>
      </c>
      <c r="R2" s="18" t="s">
        <v>99</v>
      </c>
      <c r="S2" s="18" t="s">
        <v>100</v>
      </c>
      <c r="T2" s="18" t="s">
        <v>102</v>
      </c>
      <c r="U2" s="18" t="s">
        <v>103</v>
      </c>
      <c r="V2" s="18" t="s">
        <v>106</v>
      </c>
      <c r="W2" s="25" t="s">
        <v>107</v>
      </c>
      <c r="X2" s="18" t="s">
        <v>109</v>
      </c>
      <c r="Y2" s="18" t="s">
        <v>97</v>
      </c>
      <c r="Z2" s="25" t="s">
        <v>111</v>
      </c>
      <c r="AA2" s="18" t="s">
        <v>109</v>
      </c>
      <c r="AB2" s="18" t="s">
        <v>84</v>
      </c>
      <c r="AC2" s="18" t="s">
        <v>112</v>
      </c>
      <c r="AD2" s="18" t="s">
        <v>105</v>
      </c>
      <c r="AE2" s="18" t="s">
        <v>113</v>
      </c>
      <c r="AF2" s="28"/>
      <c r="AG2" s="29"/>
      <c r="AH2" s="29"/>
      <c r="AI2" s="18">
        <v>0</v>
      </c>
      <c r="AJ2" s="19">
        <v>0</v>
      </c>
      <c r="AK2" s="33" t="s">
        <v>119</v>
      </c>
      <c r="AL2" s="33" t="s">
        <v>121</v>
      </c>
      <c r="AM2" s="33" t="s">
        <v>122</v>
      </c>
      <c r="AN2" s="33" t="s">
        <v>124</v>
      </c>
      <c r="AO2" s="18" t="s">
        <v>126</v>
      </c>
      <c r="AP2" s="33" t="s">
        <v>127</v>
      </c>
      <c r="AQ2" s="33" t="s">
        <v>129</v>
      </c>
      <c r="AR2" s="36" t="str">
        <f t="shared" ref="AR2:AR54" si="0">U2</f>
        <v>KABUPATEN TASIKMALAYA</v>
      </c>
      <c r="AS2" s="36"/>
      <c r="AT2" s="36"/>
      <c r="AU2" s="38"/>
    </row>
    <row r="3" spans="1:47" ht="15.75" customHeight="1" x14ac:dyDescent="0.3">
      <c r="A3" s="19">
        <v>20140</v>
      </c>
      <c r="B3" s="18" t="s">
        <v>57</v>
      </c>
      <c r="C3" s="22">
        <v>46192</v>
      </c>
      <c r="D3" s="18" t="s">
        <v>58</v>
      </c>
      <c r="E3" s="18" t="s">
        <v>166</v>
      </c>
      <c r="F3" s="23" t="s">
        <v>168</v>
      </c>
      <c r="G3" s="18" t="s">
        <v>170</v>
      </c>
      <c r="H3" s="22">
        <v>36301</v>
      </c>
      <c r="I3" s="18" t="s">
        <v>174</v>
      </c>
      <c r="J3" s="23" t="s">
        <v>176</v>
      </c>
      <c r="K3" s="18" t="s">
        <v>178</v>
      </c>
      <c r="L3" s="18" t="s">
        <v>85</v>
      </c>
      <c r="M3" s="18" t="s">
        <v>72</v>
      </c>
      <c r="N3" s="18" t="s">
        <v>181</v>
      </c>
      <c r="O3" s="18" t="s">
        <v>182</v>
      </c>
      <c r="P3" s="25" t="s">
        <v>184</v>
      </c>
      <c r="Q3" s="23" t="s">
        <v>185</v>
      </c>
      <c r="R3" s="18" t="s">
        <v>187</v>
      </c>
      <c r="S3" s="24" t="s">
        <v>190</v>
      </c>
      <c r="T3" s="18" t="s">
        <v>102</v>
      </c>
      <c r="U3" s="18" t="s">
        <v>103</v>
      </c>
      <c r="V3" s="18" t="s">
        <v>93</v>
      </c>
      <c r="W3" s="25" t="s">
        <v>194</v>
      </c>
      <c r="X3" s="18" t="s">
        <v>166</v>
      </c>
      <c r="Y3" s="18" t="s">
        <v>97</v>
      </c>
      <c r="Z3" s="25">
        <v>2030552931</v>
      </c>
      <c r="AA3" s="18" t="s">
        <v>166</v>
      </c>
      <c r="AB3" s="18" t="s">
        <v>195</v>
      </c>
      <c r="AC3" s="18" t="s">
        <v>196</v>
      </c>
      <c r="AD3" s="18" t="s">
        <v>105</v>
      </c>
      <c r="AE3" s="18" t="s">
        <v>113</v>
      </c>
      <c r="AF3" s="28"/>
      <c r="AG3" s="29"/>
      <c r="AH3" s="29"/>
      <c r="AI3" s="18">
        <v>0</v>
      </c>
      <c r="AJ3" s="19">
        <v>2930820129</v>
      </c>
      <c r="AK3" s="33" t="s">
        <v>198</v>
      </c>
      <c r="AL3" s="33" t="s">
        <v>200</v>
      </c>
      <c r="AM3" s="33" t="s">
        <v>202</v>
      </c>
      <c r="AN3" s="33" t="s">
        <v>205</v>
      </c>
      <c r="AO3" s="18" t="s">
        <v>207</v>
      </c>
      <c r="AP3" s="33" t="s">
        <v>209</v>
      </c>
      <c r="AQ3" s="33" t="s">
        <v>211</v>
      </c>
      <c r="AR3" s="36" t="str">
        <f t="shared" si="0"/>
        <v>KABUPATEN TASIKMALAYA</v>
      </c>
      <c r="AS3" s="36" t="s">
        <v>219</v>
      </c>
      <c r="AT3" s="18" t="s">
        <v>59</v>
      </c>
      <c r="AU3" s="38"/>
    </row>
    <row r="4" spans="1:47" ht="15.75" customHeight="1" x14ac:dyDescent="0.3">
      <c r="A4" s="19">
        <v>20234</v>
      </c>
      <c r="B4" s="18" t="s">
        <v>56</v>
      </c>
      <c r="C4" s="22">
        <v>46213</v>
      </c>
      <c r="D4" s="18" t="s">
        <v>58</v>
      </c>
      <c r="E4" s="18" t="s">
        <v>227</v>
      </c>
      <c r="F4" s="25" t="s">
        <v>228</v>
      </c>
      <c r="G4" s="18" t="s">
        <v>64</v>
      </c>
      <c r="H4" s="22">
        <v>32845</v>
      </c>
      <c r="I4" s="18" t="s">
        <v>230</v>
      </c>
      <c r="J4" s="25" t="s">
        <v>232</v>
      </c>
      <c r="K4" s="18" t="s">
        <v>64</v>
      </c>
      <c r="L4" s="18" t="s">
        <v>141</v>
      </c>
      <c r="M4" s="18" t="s">
        <v>72</v>
      </c>
      <c r="N4" s="18" t="s">
        <v>235</v>
      </c>
      <c r="O4" s="18" t="s">
        <v>74</v>
      </c>
      <c r="P4" s="25" t="s">
        <v>239</v>
      </c>
      <c r="Q4" s="25" t="s">
        <v>241</v>
      </c>
      <c r="R4" s="18" t="s">
        <v>242</v>
      </c>
      <c r="S4" s="24" t="s">
        <v>243</v>
      </c>
      <c r="T4" s="18" t="s">
        <v>90</v>
      </c>
      <c r="U4" s="18" t="s">
        <v>91</v>
      </c>
      <c r="V4" s="18" t="s">
        <v>106</v>
      </c>
      <c r="W4" s="25" t="s">
        <v>184</v>
      </c>
      <c r="X4" s="18">
        <v>0</v>
      </c>
      <c r="Y4" s="18" t="s">
        <v>97</v>
      </c>
      <c r="Z4" s="25" t="s">
        <v>245</v>
      </c>
      <c r="AA4" s="18" t="s">
        <v>227</v>
      </c>
      <c r="AB4" s="18" t="s">
        <v>64</v>
      </c>
      <c r="AC4" s="18" t="s">
        <v>64</v>
      </c>
      <c r="AD4" s="18" t="s">
        <v>105</v>
      </c>
      <c r="AE4" s="18" t="s">
        <v>113</v>
      </c>
      <c r="AF4" s="27"/>
      <c r="AG4" s="42"/>
      <c r="AH4" s="29"/>
      <c r="AI4" s="18">
        <v>0</v>
      </c>
      <c r="AJ4" s="19">
        <v>0</v>
      </c>
      <c r="AK4" s="29" t="s">
        <v>254</v>
      </c>
      <c r="AL4" s="29" t="s">
        <v>259</v>
      </c>
      <c r="AM4" s="29" t="s">
        <v>260</v>
      </c>
      <c r="AN4" s="29" t="s">
        <v>261</v>
      </c>
      <c r="AO4" s="18" t="s">
        <v>262</v>
      </c>
      <c r="AP4" s="29" t="s">
        <v>263</v>
      </c>
      <c r="AQ4" s="29" t="s">
        <v>264</v>
      </c>
      <c r="AR4" s="36" t="str">
        <f t="shared" si="0"/>
        <v>KABUPATEN PURWOKERTO</v>
      </c>
      <c r="AS4" s="36"/>
      <c r="AT4" s="36"/>
      <c r="AU4" s="38"/>
    </row>
    <row r="5" spans="1:47" ht="15.75" customHeight="1" x14ac:dyDescent="0.3">
      <c r="A5" s="19">
        <v>20487</v>
      </c>
      <c r="B5" s="18" t="s">
        <v>57</v>
      </c>
      <c r="C5" s="22">
        <v>46227</v>
      </c>
      <c r="D5" s="18" t="s">
        <v>58</v>
      </c>
      <c r="E5" s="18" t="s">
        <v>269</v>
      </c>
      <c r="F5" s="25" t="s">
        <v>272</v>
      </c>
      <c r="G5" s="18" t="s">
        <v>225</v>
      </c>
      <c r="H5" s="22">
        <v>34501</v>
      </c>
      <c r="I5" s="18" t="s">
        <v>274</v>
      </c>
      <c r="J5" s="25" t="s">
        <v>276</v>
      </c>
      <c r="K5" s="18" t="s">
        <v>277</v>
      </c>
      <c r="L5" s="18" t="s">
        <v>179</v>
      </c>
      <c r="M5" s="18" t="s">
        <v>72</v>
      </c>
      <c r="N5" s="18" t="s">
        <v>279</v>
      </c>
      <c r="O5" s="18" t="s">
        <v>74</v>
      </c>
      <c r="P5" s="25" t="s">
        <v>280</v>
      </c>
      <c r="Q5" s="25" t="s">
        <v>281</v>
      </c>
      <c r="R5" s="18" t="s">
        <v>282</v>
      </c>
      <c r="S5" s="18" t="s">
        <v>283</v>
      </c>
      <c r="T5" s="18" t="s">
        <v>102</v>
      </c>
      <c r="U5" s="18" t="s">
        <v>286</v>
      </c>
      <c r="V5" s="18" t="s">
        <v>93</v>
      </c>
      <c r="W5" s="25">
        <v>0</v>
      </c>
      <c r="X5" s="18">
        <v>0</v>
      </c>
      <c r="Y5" s="18" t="s">
        <v>97</v>
      </c>
      <c r="Z5" s="25">
        <v>4461264110</v>
      </c>
      <c r="AA5" s="18" t="s">
        <v>287</v>
      </c>
      <c r="AB5" s="18" t="s">
        <v>288</v>
      </c>
      <c r="AC5" s="18" t="s">
        <v>225</v>
      </c>
      <c r="AD5" s="18" t="s">
        <v>105</v>
      </c>
      <c r="AE5" s="18" t="s">
        <v>113</v>
      </c>
      <c r="AF5" s="28"/>
      <c r="AG5" s="29"/>
      <c r="AH5" s="29"/>
      <c r="AI5" s="18">
        <v>0</v>
      </c>
      <c r="AJ5" s="19">
        <v>0</v>
      </c>
      <c r="AK5" s="29" t="s">
        <v>292</v>
      </c>
      <c r="AL5" s="29" t="s">
        <v>294</v>
      </c>
      <c r="AM5" s="29" t="s">
        <v>296</v>
      </c>
      <c r="AN5" s="29" t="s">
        <v>298</v>
      </c>
      <c r="AO5" s="18" t="s">
        <v>299</v>
      </c>
      <c r="AP5" s="29" t="s">
        <v>300</v>
      </c>
      <c r="AQ5" s="29" t="s">
        <v>301</v>
      </c>
      <c r="AR5" s="36" t="str">
        <f t="shared" si="0"/>
        <v>KABUPATEN GARUT</v>
      </c>
      <c r="AS5" s="36" t="s">
        <v>302</v>
      </c>
      <c r="AT5" s="18" t="s">
        <v>59</v>
      </c>
      <c r="AU5" s="38"/>
    </row>
    <row r="6" spans="1:47" ht="15.75" customHeight="1" x14ac:dyDescent="0.3">
      <c r="A6" s="19">
        <v>20491</v>
      </c>
      <c r="B6" s="18" t="s">
        <v>56</v>
      </c>
      <c r="C6" s="22">
        <v>46241</v>
      </c>
      <c r="D6" s="18" t="s">
        <v>58</v>
      </c>
      <c r="E6" s="18" t="s">
        <v>306</v>
      </c>
      <c r="F6" s="25" t="s">
        <v>308</v>
      </c>
      <c r="G6" s="18" t="s">
        <v>309</v>
      </c>
      <c r="H6" s="22">
        <v>38116</v>
      </c>
      <c r="I6" s="18" t="s">
        <v>311</v>
      </c>
      <c r="J6" s="25" t="s">
        <v>313</v>
      </c>
      <c r="K6" s="18" t="s">
        <v>315</v>
      </c>
      <c r="L6" s="18" t="s">
        <v>234</v>
      </c>
      <c r="M6" s="18" t="s">
        <v>72</v>
      </c>
      <c r="N6" s="18" t="s">
        <v>316</v>
      </c>
      <c r="O6" s="18" t="s">
        <v>182</v>
      </c>
      <c r="P6" s="25" t="s">
        <v>318</v>
      </c>
      <c r="Q6" s="25" t="s">
        <v>319</v>
      </c>
      <c r="R6" s="18" t="s">
        <v>321</v>
      </c>
      <c r="S6" s="18" t="s">
        <v>323</v>
      </c>
      <c r="T6" s="18" t="s">
        <v>90</v>
      </c>
      <c r="U6" s="18" t="s">
        <v>324</v>
      </c>
      <c r="V6" s="18" t="s">
        <v>93</v>
      </c>
      <c r="W6" s="25" t="s">
        <v>326</v>
      </c>
      <c r="X6" s="18" t="s">
        <v>327</v>
      </c>
      <c r="Y6" s="18" t="s">
        <v>97</v>
      </c>
      <c r="Z6" s="25">
        <v>8111465444</v>
      </c>
      <c r="AA6" s="18" t="s">
        <v>327</v>
      </c>
      <c r="AB6" s="18" t="s">
        <v>329</v>
      </c>
      <c r="AC6" s="18" t="s">
        <v>330</v>
      </c>
      <c r="AD6" s="18" t="s">
        <v>105</v>
      </c>
      <c r="AE6" s="18" t="s">
        <v>113</v>
      </c>
      <c r="AF6" s="28"/>
      <c r="AG6" s="29"/>
      <c r="AH6" s="29"/>
      <c r="AI6" s="18">
        <v>0</v>
      </c>
      <c r="AJ6" s="19">
        <v>2575058602</v>
      </c>
      <c r="AK6" s="29" t="s">
        <v>333</v>
      </c>
      <c r="AL6" s="29" t="s">
        <v>335</v>
      </c>
      <c r="AM6" s="29" t="s">
        <v>336</v>
      </c>
      <c r="AN6" s="29" t="s">
        <v>337</v>
      </c>
      <c r="AO6" s="18" t="s">
        <v>338</v>
      </c>
      <c r="AP6" s="29" t="s">
        <v>340</v>
      </c>
      <c r="AQ6" s="29" t="s">
        <v>341</v>
      </c>
      <c r="AR6" s="36" t="str">
        <f t="shared" si="0"/>
        <v>KABUPATEN REMBANG</v>
      </c>
      <c r="AS6" s="36" t="s">
        <v>342</v>
      </c>
      <c r="AT6" s="36" t="s">
        <v>227</v>
      </c>
      <c r="AU6" s="38"/>
    </row>
    <row r="7" spans="1:47" ht="15.75" customHeight="1" x14ac:dyDescent="0.3">
      <c r="A7" s="19">
        <v>20492</v>
      </c>
      <c r="B7" s="18" t="s">
        <v>56</v>
      </c>
      <c r="C7" s="22">
        <v>46241</v>
      </c>
      <c r="D7" s="18" t="s">
        <v>58</v>
      </c>
      <c r="E7" s="18" t="s">
        <v>350</v>
      </c>
      <c r="F7" s="25" t="s">
        <v>351</v>
      </c>
      <c r="G7" s="18" t="s">
        <v>352</v>
      </c>
      <c r="H7" s="22">
        <v>35929</v>
      </c>
      <c r="I7" s="18" t="s">
        <v>353</v>
      </c>
      <c r="J7" s="25" t="s">
        <v>355</v>
      </c>
      <c r="K7" s="18" t="s">
        <v>357</v>
      </c>
      <c r="L7" s="18" t="s">
        <v>141</v>
      </c>
      <c r="M7" s="18" t="s">
        <v>72</v>
      </c>
      <c r="N7" s="18" t="s">
        <v>359</v>
      </c>
      <c r="O7" s="18" t="s">
        <v>74</v>
      </c>
      <c r="P7" s="25" t="s">
        <v>362</v>
      </c>
      <c r="Q7" s="25" t="s">
        <v>363</v>
      </c>
      <c r="R7" s="18" t="s">
        <v>365</v>
      </c>
      <c r="S7" s="24" t="s">
        <v>366</v>
      </c>
      <c r="T7" s="18" t="s">
        <v>90</v>
      </c>
      <c r="U7" s="18" t="s">
        <v>324</v>
      </c>
      <c r="V7" s="18" t="s">
        <v>93</v>
      </c>
      <c r="W7" s="25">
        <v>0</v>
      </c>
      <c r="X7" s="18">
        <v>0</v>
      </c>
      <c r="Y7" s="18" t="s">
        <v>97</v>
      </c>
      <c r="Z7" s="25" t="s">
        <v>372</v>
      </c>
      <c r="AA7" s="18" t="s">
        <v>350</v>
      </c>
      <c r="AB7" s="18" t="s">
        <v>377</v>
      </c>
      <c r="AC7" s="18" t="s">
        <v>379</v>
      </c>
      <c r="AD7" s="18" t="s">
        <v>105</v>
      </c>
      <c r="AE7" s="18" t="s">
        <v>113</v>
      </c>
      <c r="AF7" s="28"/>
      <c r="AG7" s="29"/>
      <c r="AH7" s="29"/>
      <c r="AI7" s="18">
        <v>0</v>
      </c>
      <c r="AJ7" s="19">
        <v>0</v>
      </c>
      <c r="AK7" s="29" t="s">
        <v>381</v>
      </c>
      <c r="AL7" s="29" t="s">
        <v>383</v>
      </c>
      <c r="AM7" s="29" t="s">
        <v>385</v>
      </c>
      <c r="AN7" s="29" t="s">
        <v>386</v>
      </c>
      <c r="AO7" s="18" t="s">
        <v>387</v>
      </c>
      <c r="AP7" s="29" t="s">
        <v>388</v>
      </c>
      <c r="AQ7" s="29" t="s">
        <v>390</v>
      </c>
      <c r="AR7" s="36" t="str">
        <f t="shared" si="0"/>
        <v>KABUPATEN REMBANG</v>
      </c>
      <c r="AS7" s="36" t="s">
        <v>342</v>
      </c>
      <c r="AT7" s="36" t="s">
        <v>227</v>
      </c>
      <c r="AU7" s="38"/>
    </row>
    <row r="8" spans="1:47" ht="15.75" customHeight="1" x14ac:dyDescent="0.3">
      <c r="A8" s="19">
        <v>20500</v>
      </c>
      <c r="B8" s="18" t="s">
        <v>56</v>
      </c>
      <c r="C8" s="22">
        <v>46241</v>
      </c>
      <c r="D8" s="18" t="s">
        <v>58</v>
      </c>
      <c r="E8" s="18" t="s">
        <v>398</v>
      </c>
      <c r="F8" s="25" t="s">
        <v>399</v>
      </c>
      <c r="G8" s="18" t="s">
        <v>171</v>
      </c>
      <c r="H8" s="22">
        <v>35466</v>
      </c>
      <c r="I8" s="18" t="s">
        <v>402</v>
      </c>
      <c r="J8" s="25" t="s">
        <v>403</v>
      </c>
      <c r="K8" s="18" t="s">
        <v>404</v>
      </c>
      <c r="L8" s="18" t="s">
        <v>179</v>
      </c>
      <c r="M8" s="18" t="s">
        <v>72</v>
      </c>
      <c r="N8" s="18" t="s">
        <v>405</v>
      </c>
      <c r="O8" s="18" t="s">
        <v>182</v>
      </c>
      <c r="P8" s="25" t="s">
        <v>184</v>
      </c>
      <c r="Q8" s="25" t="s">
        <v>406</v>
      </c>
      <c r="R8" s="18" t="s">
        <v>407</v>
      </c>
      <c r="S8" s="18" t="s">
        <v>408</v>
      </c>
      <c r="T8" s="18" t="s">
        <v>90</v>
      </c>
      <c r="U8" s="18" t="s">
        <v>146</v>
      </c>
      <c r="V8" s="18" t="s">
        <v>93</v>
      </c>
      <c r="W8" s="25">
        <v>0</v>
      </c>
      <c r="X8" s="18">
        <v>0</v>
      </c>
      <c r="Y8" s="18" t="s">
        <v>97</v>
      </c>
      <c r="Z8" s="25">
        <v>3600440551</v>
      </c>
      <c r="AA8" s="18" t="s">
        <v>398</v>
      </c>
      <c r="AB8" s="18" t="s">
        <v>409</v>
      </c>
      <c r="AC8" s="18" t="s">
        <v>171</v>
      </c>
      <c r="AD8" s="18" t="s">
        <v>105</v>
      </c>
      <c r="AE8" s="18" t="s">
        <v>113</v>
      </c>
      <c r="AF8" s="28"/>
      <c r="AG8" s="29"/>
      <c r="AH8" s="29"/>
      <c r="AI8" s="29"/>
      <c r="AJ8" s="28"/>
      <c r="AK8" s="29" t="s">
        <v>410</v>
      </c>
      <c r="AL8" s="29" t="s">
        <v>411</v>
      </c>
      <c r="AM8" s="29" t="s">
        <v>412</v>
      </c>
      <c r="AN8" s="29" t="s">
        <v>413</v>
      </c>
      <c r="AO8" s="18" t="s">
        <v>414</v>
      </c>
      <c r="AP8" s="29" t="s">
        <v>415</v>
      </c>
      <c r="AQ8" s="29" t="s">
        <v>416</v>
      </c>
      <c r="AR8" s="36" t="str">
        <f t="shared" si="0"/>
        <v>KOTA TEGAL</v>
      </c>
      <c r="AS8" s="36" t="s">
        <v>417</v>
      </c>
      <c r="AT8" s="36" t="s">
        <v>227</v>
      </c>
      <c r="AU8" s="38"/>
    </row>
    <row r="9" spans="1:47" ht="15.75" customHeight="1" x14ac:dyDescent="0.3">
      <c r="A9" s="19">
        <v>20501</v>
      </c>
      <c r="B9" s="18" t="s">
        <v>56</v>
      </c>
      <c r="C9" s="22">
        <v>46241</v>
      </c>
      <c r="D9" s="18" t="s">
        <v>58</v>
      </c>
      <c r="E9" s="18" t="s">
        <v>418</v>
      </c>
      <c r="F9" s="25" t="s">
        <v>419</v>
      </c>
      <c r="G9" s="18" t="s">
        <v>420</v>
      </c>
      <c r="H9" s="22">
        <v>39007</v>
      </c>
      <c r="I9" s="18" t="s">
        <v>421</v>
      </c>
      <c r="J9" s="25" t="s">
        <v>423</v>
      </c>
      <c r="K9" s="18" t="s">
        <v>425</v>
      </c>
      <c r="L9" s="18" t="s">
        <v>141</v>
      </c>
      <c r="M9" s="18" t="s">
        <v>72</v>
      </c>
      <c r="N9" s="18" t="s">
        <v>428</v>
      </c>
      <c r="O9" s="18" t="s">
        <v>182</v>
      </c>
      <c r="P9" s="25" t="s">
        <v>184</v>
      </c>
      <c r="Q9" s="25" t="s">
        <v>431</v>
      </c>
      <c r="R9" s="18" t="s">
        <v>432</v>
      </c>
      <c r="S9" s="18" t="s">
        <v>433</v>
      </c>
      <c r="T9" s="18" t="s">
        <v>434</v>
      </c>
      <c r="U9" s="18" t="s">
        <v>436</v>
      </c>
      <c r="V9" s="18" t="s">
        <v>93</v>
      </c>
      <c r="W9" s="25">
        <v>0</v>
      </c>
      <c r="X9" s="18">
        <v>0</v>
      </c>
      <c r="Y9" s="18" t="s">
        <v>439</v>
      </c>
      <c r="Z9" s="19">
        <v>738501015253536</v>
      </c>
      <c r="AA9" s="18" t="s">
        <v>418</v>
      </c>
      <c r="AB9" s="18" t="s">
        <v>425</v>
      </c>
      <c r="AC9" s="18" t="s">
        <v>420</v>
      </c>
      <c r="AD9" s="18" t="s">
        <v>105</v>
      </c>
      <c r="AE9" s="18" t="s">
        <v>113</v>
      </c>
      <c r="AF9" s="28"/>
      <c r="AG9" s="29"/>
      <c r="AH9" s="29"/>
      <c r="AI9" s="29"/>
      <c r="AJ9" s="28"/>
      <c r="AK9" s="29" t="s">
        <v>443</v>
      </c>
      <c r="AL9" s="29" t="s">
        <v>446</v>
      </c>
      <c r="AM9" s="29" t="s">
        <v>448</v>
      </c>
      <c r="AN9" s="29" t="s">
        <v>450</v>
      </c>
      <c r="AO9" s="18" t="s">
        <v>451</v>
      </c>
      <c r="AP9" s="29" t="s">
        <v>453</v>
      </c>
      <c r="AQ9" s="29" t="s">
        <v>454</v>
      </c>
      <c r="AR9" s="36" t="str">
        <f t="shared" si="0"/>
        <v>KOTA SAMARINDA</v>
      </c>
      <c r="AS9" s="36" t="s">
        <v>455</v>
      </c>
      <c r="AT9" s="36" t="s">
        <v>456</v>
      </c>
      <c r="AU9" s="38"/>
    </row>
    <row r="10" spans="1:47" ht="15.75" customHeight="1" x14ac:dyDescent="0.3">
      <c r="A10" s="19">
        <v>20502</v>
      </c>
      <c r="B10" s="18" t="s">
        <v>56</v>
      </c>
      <c r="C10" s="22">
        <v>46241</v>
      </c>
      <c r="D10" s="18" t="s">
        <v>58</v>
      </c>
      <c r="E10" s="18" t="s">
        <v>459</v>
      </c>
      <c r="F10" s="25" t="s">
        <v>461</v>
      </c>
      <c r="G10" s="18" t="s">
        <v>420</v>
      </c>
      <c r="H10" s="22">
        <v>39482</v>
      </c>
      <c r="I10" s="18" t="s">
        <v>465</v>
      </c>
      <c r="J10" s="25" t="s">
        <v>467</v>
      </c>
      <c r="K10" s="18" t="s">
        <v>470</v>
      </c>
      <c r="L10" s="18" t="s">
        <v>234</v>
      </c>
      <c r="M10" s="18" t="s">
        <v>72</v>
      </c>
      <c r="N10" s="18" t="s">
        <v>471</v>
      </c>
      <c r="O10" s="18" t="s">
        <v>182</v>
      </c>
      <c r="P10" s="25" t="s">
        <v>184</v>
      </c>
      <c r="Q10" s="25" t="s">
        <v>472</v>
      </c>
      <c r="R10" s="18" t="s">
        <v>473</v>
      </c>
      <c r="S10" s="18" t="s">
        <v>477</v>
      </c>
      <c r="T10" s="18" t="s">
        <v>434</v>
      </c>
      <c r="U10" s="18" t="s">
        <v>436</v>
      </c>
      <c r="V10" s="18" t="s">
        <v>93</v>
      </c>
      <c r="W10" s="25">
        <v>0</v>
      </c>
      <c r="X10" s="18">
        <v>0</v>
      </c>
      <c r="Y10" s="18" t="s">
        <v>480</v>
      </c>
      <c r="Z10" s="19">
        <v>2052237694</v>
      </c>
      <c r="AA10" s="18" t="s">
        <v>459</v>
      </c>
      <c r="AB10" s="18" t="s">
        <v>482</v>
      </c>
      <c r="AC10" s="18" t="s">
        <v>436</v>
      </c>
      <c r="AD10" s="18" t="s">
        <v>105</v>
      </c>
      <c r="AE10" s="18" t="s">
        <v>113</v>
      </c>
      <c r="AF10" s="28"/>
      <c r="AG10" s="29"/>
      <c r="AH10" s="29"/>
      <c r="AI10" s="29"/>
      <c r="AJ10" s="28"/>
      <c r="AK10" s="33" t="s">
        <v>487</v>
      </c>
      <c r="AL10" s="29" t="s">
        <v>488</v>
      </c>
      <c r="AM10" s="29" t="s">
        <v>489</v>
      </c>
      <c r="AN10" s="29" t="s">
        <v>490</v>
      </c>
      <c r="AO10" s="18" t="s">
        <v>491</v>
      </c>
      <c r="AP10" s="29" t="s">
        <v>493</v>
      </c>
      <c r="AQ10" s="29" t="s">
        <v>494</v>
      </c>
      <c r="AR10" s="36" t="str">
        <f t="shared" si="0"/>
        <v>KOTA SAMARINDA</v>
      </c>
      <c r="AS10" s="36" t="s">
        <v>455</v>
      </c>
      <c r="AT10" s="36" t="s">
        <v>456</v>
      </c>
      <c r="AU10" s="38"/>
    </row>
    <row r="11" spans="1:47" ht="15.75" customHeight="1" x14ac:dyDescent="0.3">
      <c r="A11" s="19">
        <v>20541</v>
      </c>
      <c r="B11" s="18" t="s">
        <v>56</v>
      </c>
      <c r="C11" s="22">
        <v>46241</v>
      </c>
      <c r="D11" s="18" t="s">
        <v>58</v>
      </c>
      <c r="E11" s="18" t="s">
        <v>495</v>
      </c>
      <c r="F11" s="25" t="s">
        <v>496</v>
      </c>
      <c r="G11" s="18" t="s">
        <v>497</v>
      </c>
      <c r="H11" s="22">
        <v>38047</v>
      </c>
      <c r="I11" s="18" t="s">
        <v>498</v>
      </c>
      <c r="J11" s="25" t="s">
        <v>499</v>
      </c>
      <c r="K11" s="18" t="s">
        <v>501</v>
      </c>
      <c r="L11" s="18" t="s">
        <v>234</v>
      </c>
      <c r="M11" s="18" t="s">
        <v>72</v>
      </c>
      <c r="N11" s="18" t="s">
        <v>502</v>
      </c>
      <c r="O11" s="18" t="s">
        <v>74</v>
      </c>
      <c r="P11" s="25" t="s">
        <v>503</v>
      </c>
      <c r="Q11" s="25" t="s">
        <v>504</v>
      </c>
      <c r="R11" s="18" t="s">
        <v>505</v>
      </c>
      <c r="S11" s="18" t="s">
        <v>507</v>
      </c>
      <c r="T11" s="18" t="s">
        <v>508</v>
      </c>
      <c r="U11" s="18" t="s">
        <v>510</v>
      </c>
      <c r="V11" s="18" t="s">
        <v>93</v>
      </c>
      <c r="W11" s="25">
        <v>0</v>
      </c>
      <c r="X11" s="18">
        <v>0</v>
      </c>
      <c r="Y11" s="18" t="s">
        <v>97</v>
      </c>
      <c r="Z11" s="25">
        <v>8275501812</v>
      </c>
      <c r="AA11" s="18" t="s">
        <v>515</v>
      </c>
      <c r="AB11" s="18" t="s">
        <v>516</v>
      </c>
      <c r="AC11" s="18" t="s">
        <v>497</v>
      </c>
      <c r="AD11" s="18" t="s">
        <v>105</v>
      </c>
      <c r="AE11" s="18" t="s">
        <v>113</v>
      </c>
      <c r="AF11" s="28"/>
      <c r="AG11" s="29"/>
      <c r="AH11" s="29"/>
      <c r="AI11" s="29"/>
      <c r="AJ11" s="28"/>
      <c r="AK11" s="29" t="s">
        <v>518</v>
      </c>
      <c r="AL11" s="29" t="s">
        <v>519</v>
      </c>
      <c r="AM11" s="29" t="s">
        <v>521</v>
      </c>
      <c r="AN11" s="29" t="s">
        <v>522</v>
      </c>
      <c r="AO11" s="18" t="s">
        <v>523</v>
      </c>
      <c r="AP11" s="29" t="s">
        <v>525</v>
      </c>
      <c r="AQ11" s="29" t="s">
        <v>527</v>
      </c>
      <c r="AR11" s="36" t="str">
        <f t="shared" si="0"/>
        <v>KOTA BANJARMASIN</v>
      </c>
      <c r="AS11" s="36" t="s">
        <v>529</v>
      </c>
      <c r="AT11" s="36" t="s">
        <v>456</v>
      </c>
      <c r="AU11" s="38"/>
    </row>
    <row r="12" spans="1:47" ht="15.75" customHeight="1" x14ac:dyDescent="0.3">
      <c r="A12" s="19">
        <v>20542</v>
      </c>
      <c r="B12" s="18" t="s">
        <v>56</v>
      </c>
      <c r="C12" s="22">
        <v>46241</v>
      </c>
      <c r="D12" s="18" t="s">
        <v>58</v>
      </c>
      <c r="E12" s="18" t="s">
        <v>533</v>
      </c>
      <c r="F12" s="25" t="s">
        <v>535</v>
      </c>
      <c r="G12" s="18" t="s">
        <v>536</v>
      </c>
      <c r="H12" s="22">
        <v>37188</v>
      </c>
      <c r="I12" s="18" t="s">
        <v>537</v>
      </c>
      <c r="J12" s="25" t="s">
        <v>538</v>
      </c>
      <c r="K12" s="18" t="s">
        <v>540</v>
      </c>
      <c r="L12" s="18" t="s">
        <v>85</v>
      </c>
      <c r="M12" s="18" t="s">
        <v>72</v>
      </c>
      <c r="N12" s="18" t="s">
        <v>541</v>
      </c>
      <c r="O12" s="18" t="s">
        <v>182</v>
      </c>
      <c r="P12" s="25" t="s">
        <v>535</v>
      </c>
      <c r="Q12" s="25" t="s">
        <v>542</v>
      </c>
      <c r="R12" s="18" t="s">
        <v>543</v>
      </c>
      <c r="S12" s="18" t="s">
        <v>544</v>
      </c>
      <c r="T12" s="18" t="s">
        <v>434</v>
      </c>
      <c r="U12" s="18" t="s">
        <v>545</v>
      </c>
      <c r="V12" s="18" t="s">
        <v>93</v>
      </c>
      <c r="W12" s="25">
        <v>0</v>
      </c>
      <c r="X12" s="18">
        <v>0</v>
      </c>
      <c r="Y12" s="18" t="s">
        <v>97</v>
      </c>
      <c r="Z12" s="25">
        <v>7935488389</v>
      </c>
      <c r="AA12" s="18" t="s">
        <v>533</v>
      </c>
      <c r="AB12" s="18" t="s">
        <v>549</v>
      </c>
      <c r="AC12" s="18" t="s">
        <v>551</v>
      </c>
      <c r="AD12" s="18" t="s">
        <v>105</v>
      </c>
      <c r="AE12" s="18" t="s">
        <v>113</v>
      </c>
      <c r="AF12" s="28"/>
      <c r="AG12" s="29"/>
      <c r="AH12" s="29"/>
      <c r="AI12" s="29"/>
      <c r="AJ12" s="28"/>
      <c r="AK12" s="29" t="s">
        <v>554</v>
      </c>
      <c r="AL12" s="29" t="s">
        <v>556</v>
      </c>
      <c r="AM12" s="29" t="s">
        <v>558</v>
      </c>
      <c r="AN12" s="29" t="s">
        <v>560</v>
      </c>
      <c r="AO12" s="18" t="s">
        <v>563</v>
      </c>
      <c r="AP12" s="29" t="s">
        <v>565</v>
      </c>
      <c r="AQ12" s="29" t="s">
        <v>566</v>
      </c>
      <c r="AR12" s="36" t="str">
        <f t="shared" si="0"/>
        <v>KOTA BALIKPAPAN</v>
      </c>
      <c r="AS12" s="36" t="s">
        <v>568</v>
      </c>
      <c r="AT12" s="36" t="s">
        <v>456</v>
      </c>
      <c r="AU12" s="38"/>
    </row>
    <row r="13" spans="1:47" ht="15.75" customHeight="1" x14ac:dyDescent="0.3">
      <c r="A13" s="19">
        <v>20543</v>
      </c>
      <c r="B13" s="18" t="s">
        <v>56</v>
      </c>
      <c r="C13" s="22">
        <v>46241</v>
      </c>
      <c r="D13" s="18" t="s">
        <v>58</v>
      </c>
      <c r="E13" s="18" t="s">
        <v>573</v>
      </c>
      <c r="F13" s="25" t="s">
        <v>158</v>
      </c>
      <c r="G13" s="18" t="s">
        <v>171</v>
      </c>
      <c r="H13" s="22">
        <v>38614</v>
      </c>
      <c r="I13" s="18" t="s">
        <v>575</v>
      </c>
      <c r="J13" s="25" t="s">
        <v>577</v>
      </c>
      <c r="K13" s="18" t="s">
        <v>579</v>
      </c>
      <c r="L13" s="18" t="s">
        <v>234</v>
      </c>
      <c r="M13" s="18" t="s">
        <v>72</v>
      </c>
      <c r="N13" s="18" t="s">
        <v>584</v>
      </c>
      <c r="O13" s="18" t="s">
        <v>182</v>
      </c>
      <c r="P13" s="25" t="s">
        <v>184</v>
      </c>
      <c r="Q13" s="25" t="s">
        <v>585</v>
      </c>
      <c r="R13" s="18" t="s">
        <v>586</v>
      </c>
      <c r="S13" s="18" t="s">
        <v>587</v>
      </c>
      <c r="T13" s="18" t="s">
        <v>90</v>
      </c>
      <c r="U13" s="18" t="s">
        <v>146</v>
      </c>
      <c r="V13" s="18" t="s">
        <v>93</v>
      </c>
      <c r="W13" s="25">
        <v>0</v>
      </c>
      <c r="X13" s="18">
        <v>0</v>
      </c>
      <c r="Y13" s="18" t="s">
        <v>97</v>
      </c>
      <c r="Z13" s="25" t="s">
        <v>589</v>
      </c>
      <c r="AA13" s="18" t="s">
        <v>573</v>
      </c>
      <c r="AB13" s="18" t="s">
        <v>171</v>
      </c>
      <c r="AC13" s="18" t="s">
        <v>171</v>
      </c>
      <c r="AD13" s="18" t="s">
        <v>105</v>
      </c>
      <c r="AE13" s="18" t="s">
        <v>113</v>
      </c>
      <c r="AF13" s="28"/>
      <c r="AG13" s="29"/>
      <c r="AH13" s="29"/>
      <c r="AI13" s="18">
        <v>0</v>
      </c>
      <c r="AJ13" s="19">
        <v>0</v>
      </c>
      <c r="AK13" s="29" t="s">
        <v>596</v>
      </c>
      <c r="AL13" s="29" t="s">
        <v>598</v>
      </c>
      <c r="AM13" s="29" t="s">
        <v>601</v>
      </c>
      <c r="AN13" s="29" t="s">
        <v>605</v>
      </c>
      <c r="AO13" s="18" t="s">
        <v>607</v>
      </c>
      <c r="AP13" s="29" t="s">
        <v>608</v>
      </c>
      <c r="AQ13" s="29" t="s">
        <v>609</v>
      </c>
      <c r="AR13" s="36" t="str">
        <f t="shared" si="0"/>
        <v>KOTA TEGAL</v>
      </c>
      <c r="AS13" s="36" t="s">
        <v>417</v>
      </c>
      <c r="AT13" s="36" t="s">
        <v>227</v>
      </c>
      <c r="AU13" s="38"/>
    </row>
    <row r="14" spans="1:47" ht="15.75" customHeight="1" x14ac:dyDescent="0.3">
      <c r="A14" s="19">
        <v>20548</v>
      </c>
      <c r="B14" s="18" t="s">
        <v>56</v>
      </c>
      <c r="C14" s="22">
        <v>46241</v>
      </c>
      <c r="D14" s="18" t="s">
        <v>58</v>
      </c>
      <c r="E14" s="18" t="s">
        <v>613</v>
      </c>
      <c r="F14" s="25" t="s">
        <v>615</v>
      </c>
      <c r="G14" s="18" t="s">
        <v>616</v>
      </c>
      <c r="H14" s="22">
        <v>38930</v>
      </c>
      <c r="I14" s="18" t="s">
        <v>618</v>
      </c>
      <c r="J14" s="25" t="s">
        <v>619</v>
      </c>
      <c r="K14" s="18" t="s">
        <v>621</v>
      </c>
      <c r="L14" s="18" t="s">
        <v>234</v>
      </c>
      <c r="M14" s="18" t="s">
        <v>72</v>
      </c>
      <c r="N14" s="18" t="s">
        <v>623</v>
      </c>
      <c r="O14" s="18" t="s">
        <v>182</v>
      </c>
      <c r="P14" s="25" t="s">
        <v>184</v>
      </c>
      <c r="Q14" s="25" t="s">
        <v>625</v>
      </c>
      <c r="R14" s="18" t="s">
        <v>627</v>
      </c>
      <c r="S14" s="18" t="s">
        <v>628</v>
      </c>
      <c r="T14" s="18" t="s">
        <v>90</v>
      </c>
      <c r="U14" s="18" t="s">
        <v>630</v>
      </c>
      <c r="V14" s="18" t="s">
        <v>93</v>
      </c>
      <c r="W14" s="25">
        <v>0</v>
      </c>
      <c r="X14" s="18">
        <v>0</v>
      </c>
      <c r="Y14" s="18" t="s">
        <v>97</v>
      </c>
      <c r="Z14" s="25">
        <v>2470944156</v>
      </c>
      <c r="AA14" s="18" t="s">
        <v>613</v>
      </c>
      <c r="AB14" s="18" t="s">
        <v>631</v>
      </c>
      <c r="AC14" s="18" t="s">
        <v>616</v>
      </c>
      <c r="AD14" s="18" t="s">
        <v>105</v>
      </c>
      <c r="AE14" s="18" t="s">
        <v>113</v>
      </c>
      <c r="AF14" s="28"/>
      <c r="AG14" s="29"/>
      <c r="AH14" s="29"/>
      <c r="AI14" s="18">
        <v>0</v>
      </c>
      <c r="AJ14" s="19">
        <v>0</v>
      </c>
      <c r="AK14" s="29" t="s">
        <v>632</v>
      </c>
      <c r="AL14" s="29" t="s">
        <v>633</v>
      </c>
      <c r="AM14" s="29" t="s">
        <v>634</v>
      </c>
      <c r="AN14" s="29" t="s">
        <v>635</v>
      </c>
      <c r="AO14" s="18" t="s">
        <v>636</v>
      </c>
      <c r="AP14" s="29" t="s">
        <v>637</v>
      </c>
      <c r="AQ14" s="29" t="s">
        <v>638</v>
      </c>
      <c r="AR14" s="36" t="str">
        <f t="shared" si="0"/>
        <v>KABUPATEN JEPARA</v>
      </c>
      <c r="AS14" s="36" t="s">
        <v>640</v>
      </c>
      <c r="AT14" s="36" t="s">
        <v>227</v>
      </c>
      <c r="AU14" s="38"/>
    </row>
    <row r="15" spans="1:47" ht="15.75" customHeight="1" x14ac:dyDescent="0.3">
      <c r="A15" s="19">
        <v>20549</v>
      </c>
      <c r="B15" s="18" t="s">
        <v>56</v>
      </c>
      <c r="C15" s="22">
        <v>46234</v>
      </c>
      <c r="D15" s="18" t="s">
        <v>58</v>
      </c>
      <c r="E15" s="18" t="s">
        <v>215</v>
      </c>
      <c r="F15" s="25" t="s">
        <v>217</v>
      </c>
      <c r="G15" s="18" t="s">
        <v>171</v>
      </c>
      <c r="H15" s="22">
        <v>37472</v>
      </c>
      <c r="I15" s="18" t="s">
        <v>646</v>
      </c>
      <c r="J15" s="25" t="s">
        <v>648</v>
      </c>
      <c r="K15" s="18" t="s">
        <v>649</v>
      </c>
      <c r="L15" s="18" t="s">
        <v>141</v>
      </c>
      <c r="M15" s="18" t="s">
        <v>72</v>
      </c>
      <c r="N15" s="18" t="s">
        <v>650</v>
      </c>
      <c r="O15" s="18" t="s">
        <v>182</v>
      </c>
      <c r="P15" s="25" t="s">
        <v>184</v>
      </c>
      <c r="Q15" s="25" t="s">
        <v>585</v>
      </c>
      <c r="R15" s="18" t="s">
        <v>651</v>
      </c>
      <c r="S15" s="24" t="s">
        <v>654</v>
      </c>
      <c r="T15" s="18" t="s">
        <v>90</v>
      </c>
      <c r="U15" s="18" t="s">
        <v>213</v>
      </c>
      <c r="V15" s="18" t="s">
        <v>93</v>
      </c>
      <c r="W15" s="25">
        <v>0</v>
      </c>
      <c r="X15" s="18">
        <v>0</v>
      </c>
      <c r="Y15" s="18" t="s">
        <v>97</v>
      </c>
      <c r="Z15" s="25" t="s">
        <v>656</v>
      </c>
      <c r="AA15" s="18" t="s">
        <v>215</v>
      </c>
      <c r="AB15" s="18" t="s">
        <v>649</v>
      </c>
      <c r="AC15" s="18" t="s">
        <v>171</v>
      </c>
      <c r="AD15" s="18" t="s">
        <v>105</v>
      </c>
      <c r="AE15" s="18" t="s">
        <v>113</v>
      </c>
      <c r="AF15" s="28"/>
      <c r="AG15" s="29"/>
      <c r="AH15" s="29"/>
      <c r="AI15" s="18">
        <v>0</v>
      </c>
      <c r="AJ15" s="19">
        <v>0</v>
      </c>
      <c r="AK15" s="29" t="s">
        <v>657</v>
      </c>
      <c r="AL15" s="29" t="s">
        <v>658</v>
      </c>
      <c r="AM15" s="29" t="s">
        <v>659</v>
      </c>
      <c r="AN15" s="29" t="s">
        <v>660</v>
      </c>
      <c r="AO15" s="18" t="s">
        <v>661</v>
      </c>
      <c r="AP15" s="29" t="s">
        <v>663</v>
      </c>
      <c r="AQ15" s="29" t="s">
        <v>664</v>
      </c>
      <c r="AR15" s="36" t="str">
        <f t="shared" si="0"/>
        <v>KABUPATEN TEGAL</v>
      </c>
      <c r="AS15" s="36" t="s">
        <v>665</v>
      </c>
      <c r="AT15" s="36" t="s">
        <v>227</v>
      </c>
      <c r="AU15" s="38"/>
    </row>
    <row r="16" spans="1:47" ht="15.75" customHeight="1" x14ac:dyDescent="0.3">
      <c r="A16" s="19">
        <v>20551</v>
      </c>
      <c r="B16" s="18" t="s">
        <v>56</v>
      </c>
      <c r="C16" s="22">
        <v>46241</v>
      </c>
      <c r="D16" s="18" t="s">
        <v>58</v>
      </c>
      <c r="E16" s="18" t="s">
        <v>666</v>
      </c>
      <c r="F16" s="25" t="s">
        <v>667</v>
      </c>
      <c r="G16" s="18" t="s">
        <v>668</v>
      </c>
      <c r="H16" s="22">
        <v>33799</v>
      </c>
      <c r="I16" s="18" t="s">
        <v>669</v>
      </c>
      <c r="J16" s="25" t="s">
        <v>670</v>
      </c>
      <c r="K16" s="18" t="s">
        <v>671</v>
      </c>
      <c r="L16" s="18" t="s">
        <v>85</v>
      </c>
      <c r="M16" s="18" t="s">
        <v>72</v>
      </c>
      <c r="N16" s="18" t="s">
        <v>672</v>
      </c>
      <c r="O16" s="18" t="s">
        <v>74</v>
      </c>
      <c r="P16" s="25" t="s">
        <v>673</v>
      </c>
      <c r="Q16" s="25" t="s">
        <v>674</v>
      </c>
      <c r="R16" s="18" t="s">
        <v>675</v>
      </c>
      <c r="S16" s="18" t="s">
        <v>676</v>
      </c>
      <c r="T16" s="18" t="s">
        <v>90</v>
      </c>
      <c r="U16" s="18" t="s">
        <v>677</v>
      </c>
      <c r="V16" s="18" t="s">
        <v>93</v>
      </c>
      <c r="W16" s="25" t="s">
        <v>678</v>
      </c>
      <c r="X16" s="18" t="s">
        <v>666</v>
      </c>
      <c r="Y16" s="18" t="s">
        <v>97</v>
      </c>
      <c r="Z16" s="25">
        <v>1040524505</v>
      </c>
      <c r="AA16" s="18" t="s">
        <v>666</v>
      </c>
      <c r="AB16" s="18" t="s">
        <v>671</v>
      </c>
      <c r="AC16" s="18" t="s">
        <v>668</v>
      </c>
      <c r="AD16" s="18" t="s">
        <v>105</v>
      </c>
      <c r="AE16" s="18" t="s">
        <v>113</v>
      </c>
      <c r="AF16" s="28"/>
      <c r="AG16" s="29"/>
      <c r="AH16" s="29"/>
      <c r="AI16" s="18">
        <v>0</v>
      </c>
      <c r="AJ16" s="19">
        <v>0</v>
      </c>
      <c r="AK16" s="29" t="s">
        <v>680</v>
      </c>
      <c r="AL16" s="29" t="s">
        <v>681</v>
      </c>
      <c r="AM16" s="29" t="s">
        <v>682</v>
      </c>
      <c r="AN16" s="29" t="s">
        <v>683</v>
      </c>
      <c r="AO16" s="18" t="s">
        <v>684</v>
      </c>
      <c r="AP16" s="29" t="s">
        <v>685</v>
      </c>
      <c r="AQ16" s="29" t="s">
        <v>686</v>
      </c>
      <c r="AR16" s="36" t="str">
        <f t="shared" si="0"/>
        <v>KABUPATEN MAGELANG</v>
      </c>
      <c r="AS16" s="36" t="s">
        <v>687</v>
      </c>
      <c r="AT16" s="36" t="s">
        <v>227</v>
      </c>
      <c r="AU16" s="38"/>
    </row>
    <row r="17" spans="1:47" ht="15.75" customHeight="1" x14ac:dyDescent="0.3">
      <c r="A17" s="19">
        <v>20553</v>
      </c>
      <c r="B17" s="18" t="s">
        <v>57</v>
      </c>
      <c r="C17" s="22">
        <v>46241</v>
      </c>
      <c r="D17" s="18" t="s">
        <v>58</v>
      </c>
      <c r="E17" s="18" t="s">
        <v>690</v>
      </c>
      <c r="F17" s="25" t="s">
        <v>691</v>
      </c>
      <c r="G17" s="18" t="s">
        <v>692</v>
      </c>
      <c r="H17" s="22">
        <v>38189</v>
      </c>
      <c r="I17" s="18" t="s">
        <v>693</v>
      </c>
      <c r="J17" s="25" t="s">
        <v>695</v>
      </c>
      <c r="K17" s="18" t="s">
        <v>697</v>
      </c>
      <c r="L17" s="18" t="s">
        <v>234</v>
      </c>
      <c r="M17" s="18" t="s">
        <v>72</v>
      </c>
      <c r="N17" s="18" t="s">
        <v>700</v>
      </c>
      <c r="O17" s="18" t="s">
        <v>182</v>
      </c>
      <c r="P17" s="25" t="s">
        <v>701</v>
      </c>
      <c r="Q17" s="25" t="s">
        <v>702</v>
      </c>
      <c r="R17" s="18" t="s">
        <v>704</v>
      </c>
      <c r="S17" s="18" t="s">
        <v>705</v>
      </c>
      <c r="T17" s="18" t="s">
        <v>102</v>
      </c>
      <c r="U17" s="18" t="s">
        <v>706</v>
      </c>
      <c r="V17" s="18" t="s">
        <v>93</v>
      </c>
      <c r="W17" s="25" t="s">
        <v>708</v>
      </c>
      <c r="X17" s="18" t="s">
        <v>690</v>
      </c>
      <c r="Y17" s="18" t="s">
        <v>389</v>
      </c>
      <c r="Z17" s="19">
        <v>901790636296</v>
      </c>
      <c r="AA17" s="18" t="s">
        <v>690</v>
      </c>
      <c r="AB17" s="18" t="s">
        <v>709</v>
      </c>
      <c r="AC17" s="18" t="s">
        <v>692</v>
      </c>
      <c r="AD17" s="18" t="s">
        <v>105</v>
      </c>
      <c r="AE17" s="18" t="s">
        <v>113</v>
      </c>
      <c r="AF17" s="28"/>
      <c r="AG17" s="29"/>
      <c r="AH17" s="29"/>
      <c r="AI17" s="18">
        <v>0</v>
      </c>
      <c r="AJ17" s="19">
        <v>0</v>
      </c>
      <c r="AK17" s="29" t="s">
        <v>712</v>
      </c>
      <c r="AL17" s="29" t="s">
        <v>714</v>
      </c>
      <c r="AM17" s="29" t="s">
        <v>715</v>
      </c>
      <c r="AN17" s="29" t="s">
        <v>716</v>
      </c>
      <c r="AO17" s="18" t="s">
        <v>718</v>
      </c>
      <c r="AP17" s="29" t="s">
        <v>719</v>
      </c>
      <c r="AQ17" s="29" t="s">
        <v>721</v>
      </c>
      <c r="AR17" s="36" t="str">
        <f t="shared" si="0"/>
        <v>KABUPATEN CIAMIS</v>
      </c>
      <c r="AS17" s="36" t="s">
        <v>725</v>
      </c>
      <c r="AT17" s="36" t="s">
        <v>59</v>
      </c>
      <c r="AU17" s="38"/>
    </row>
    <row r="18" spans="1:47" ht="15.75" customHeight="1" x14ac:dyDescent="0.3">
      <c r="A18" s="19">
        <v>20555</v>
      </c>
      <c r="B18" s="18" t="s">
        <v>56</v>
      </c>
      <c r="C18" s="22">
        <v>46241</v>
      </c>
      <c r="D18" s="18" t="s">
        <v>58</v>
      </c>
      <c r="E18" s="18" t="s">
        <v>729</v>
      </c>
      <c r="F18" s="25" t="s">
        <v>730</v>
      </c>
      <c r="G18" s="18" t="s">
        <v>731</v>
      </c>
      <c r="H18" s="22">
        <v>36646</v>
      </c>
      <c r="I18" s="18" t="s">
        <v>732</v>
      </c>
      <c r="J18" s="25" t="s">
        <v>733</v>
      </c>
      <c r="K18" s="18" t="s">
        <v>735</v>
      </c>
      <c r="L18" s="18" t="s">
        <v>85</v>
      </c>
      <c r="M18" s="18" t="s">
        <v>72</v>
      </c>
      <c r="N18" s="18" t="s">
        <v>737</v>
      </c>
      <c r="O18" s="18" t="s">
        <v>182</v>
      </c>
      <c r="P18" s="25" t="s">
        <v>738</v>
      </c>
      <c r="Q18" s="25" t="s">
        <v>740</v>
      </c>
      <c r="R18" s="18" t="s">
        <v>742</v>
      </c>
      <c r="S18" s="24" t="s">
        <v>744</v>
      </c>
      <c r="T18" s="18" t="s">
        <v>90</v>
      </c>
      <c r="U18" s="18" t="s">
        <v>91</v>
      </c>
      <c r="V18" s="18" t="s">
        <v>93</v>
      </c>
      <c r="W18" s="25" t="s">
        <v>746</v>
      </c>
      <c r="X18" s="18" t="s">
        <v>729</v>
      </c>
      <c r="Y18" s="18" t="s">
        <v>97</v>
      </c>
      <c r="Z18" s="25" t="s">
        <v>749</v>
      </c>
      <c r="AA18" s="18" t="s">
        <v>729</v>
      </c>
      <c r="AB18" s="18" t="s">
        <v>751</v>
      </c>
      <c r="AC18" s="18" t="s">
        <v>752</v>
      </c>
      <c r="AD18" s="18" t="s">
        <v>105</v>
      </c>
      <c r="AE18" s="18" t="s">
        <v>113</v>
      </c>
      <c r="AF18" s="28"/>
      <c r="AG18" s="29"/>
      <c r="AH18" s="29"/>
      <c r="AI18" s="18">
        <v>0</v>
      </c>
      <c r="AJ18" s="19">
        <v>0</v>
      </c>
      <c r="AK18" s="29" t="s">
        <v>754</v>
      </c>
      <c r="AL18" s="29" t="s">
        <v>755</v>
      </c>
      <c r="AM18" s="29" t="s">
        <v>757</v>
      </c>
      <c r="AN18" s="29" t="s">
        <v>758</v>
      </c>
      <c r="AO18" s="18" t="s">
        <v>759</v>
      </c>
      <c r="AP18" s="29" t="s">
        <v>760</v>
      </c>
      <c r="AQ18" s="29" t="s">
        <v>762</v>
      </c>
      <c r="AR18" s="36" t="str">
        <f t="shared" si="0"/>
        <v>KABUPATEN PURWOKERTO</v>
      </c>
      <c r="AS18" s="36" t="s">
        <v>765</v>
      </c>
      <c r="AT18" s="36" t="s">
        <v>227</v>
      </c>
      <c r="AU18" s="38"/>
    </row>
    <row r="19" spans="1:47" ht="15.75" customHeight="1" x14ac:dyDescent="0.3">
      <c r="A19" s="19">
        <v>20557</v>
      </c>
      <c r="B19" s="18" t="s">
        <v>57</v>
      </c>
      <c r="C19" s="22">
        <v>46241</v>
      </c>
      <c r="D19" s="18" t="s">
        <v>58</v>
      </c>
      <c r="E19" s="18" t="s">
        <v>770</v>
      </c>
      <c r="F19" s="25" t="s">
        <v>771</v>
      </c>
      <c r="G19" s="18" t="s">
        <v>772</v>
      </c>
      <c r="H19" s="22">
        <v>38176</v>
      </c>
      <c r="I19" s="18" t="s">
        <v>773</v>
      </c>
      <c r="J19" s="25" t="s">
        <v>774</v>
      </c>
      <c r="K19" s="18" t="s">
        <v>776</v>
      </c>
      <c r="L19" s="18" t="s">
        <v>777</v>
      </c>
      <c r="M19" s="18" t="s">
        <v>72</v>
      </c>
      <c r="N19" s="18" t="s">
        <v>779</v>
      </c>
      <c r="O19" s="18" t="s">
        <v>74</v>
      </c>
      <c r="P19" s="25" t="s">
        <v>184</v>
      </c>
      <c r="Q19" s="25" t="s">
        <v>781</v>
      </c>
      <c r="R19" s="18" t="s">
        <v>783</v>
      </c>
      <c r="S19" s="24" t="s">
        <v>784</v>
      </c>
      <c r="T19" s="18" t="s">
        <v>102</v>
      </c>
      <c r="U19" s="18" t="s">
        <v>786</v>
      </c>
      <c r="V19" s="18" t="s">
        <v>93</v>
      </c>
      <c r="W19" s="25">
        <v>0</v>
      </c>
      <c r="X19" s="18">
        <v>0</v>
      </c>
      <c r="Y19" s="18" t="s">
        <v>97</v>
      </c>
      <c r="Z19" s="25">
        <v>3480999931</v>
      </c>
      <c r="AA19" s="18" t="s">
        <v>770</v>
      </c>
      <c r="AB19" s="18" t="s">
        <v>790</v>
      </c>
      <c r="AC19" s="18" t="s">
        <v>772</v>
      </c>
      <c r="AD19" s="18" t="s">
        <v>105</v>
      </c>
      <c r="AE19" s="18" t="s">
        <v>113</v>
      </c>
      <c r="AF19" s="28"/>
      <c r="AG19" s="29"/>
      <c r="AH19" s="29"/>
      <c r="AI19" s="18">
        <v>0</v>
      </c>
      <c r="AJ19" s="19">
        <v>0</v>
      </c>
      <c r="AK19" s="29" t="s">
        <v>791</v>
      </c>
      <c r="AL19" s="29" t="s">
        <v>792</v>
      </c>
      <c r="AM19" s="29" t="s">
        <v>794</v>
      </c>
      <c r="AN19" s="29" t="s">
        <v>795</v>
      </c>
      <c r="AO19" s="18" t="s">
        <v>796</v>
      </c>
      <c r="AP19" s="29" t="s">
        <v>797</v>
      </c>
      <c r="AQ19" s="29" t="s">
        <v>799</v>
      </c>
      <c r="AR19" s="36" t="str">
        <f t="shared" si="0"/>
        <v>KABUPATEN CIANJUR</v>
      </c>
      <c r="AS19" s="36" t="s">
        <v>800</v>
      </c>
      <c r="AT19" s="36" t="s">
        <v>59</v>
      </c>
      <c r="AU19" s="38"/>
    </row>
    <row r="20" spans="1:47" ht="15.75" customHeight="1" x14ac:dyDescent="0.3">
      <c r="A20" s="19">
        <v>20558</v>
      </c>
      <c r="B20" s="18" t="s">
        <v>56</v>
      </c>
      <c r="C20" s="22">
        <v>46241</v>
      </c>
      <c r="D20" s="18" t="s">
        <v>58</v>
      </c>
      <c r="E20" s="18" t="s">
        <v>802</v>
      </c>
      <c r="F20" s="25" t="s">
        <v>803</v>
      </c>
      <c r="G20" s="18" t="s">
        <v>804</v>
      </c>
      <c r="H20" s="22">
        <v>32940</v>
      </c>
      <c r="I20" s="18" t="s">
        <v>805</v>
      </c>
      <c r="J20" s="25" t="s">
        <v>806</v>
      </c>
      <c r="K20" s="18" t="s">
        <v>807</v>
      </c>
      <c r="L20" s="18" t="s">
        <v>179</v>
      </c>
      <c r="M20" s="18" t="s">
        <v>72</v>
      </c>
      <c r="N20" s="18" t="s">
        <v>808</v>
      </c>
      <c r="O20" s="18" t="s">
        <v>92</v>
      </c>
      <c r="P20" s="25" t="s">
        <v>809</v>
      </c>
      <c r="Q20" s="25" t="s">
        <v>810</v>
      </c>
      <c r="R20" s="18" t="s">
        <v>811</v>
      </c>
      <c r="S20" s="18" t="s">
        <v>812</v>
      </c>
      <c r="T20" s="18" t="s">
        <v>813</v>
      </c>
      <c r="U20" s="18" t="s">
        <v>814</v>
      </c>
      <c r="V20" s="18" t="s">
        <v>106</v>
      </c>
      <c r="W20" s="25" t="s">
        <v>815</v>
      </c>
      <c r="X20" s="18" t="s">
        <v>802</v>
      </c>
      <c r="Y20" s="18" t="s">
        <v>97</v>
      </c>
      <c r="Z20" s="25">
        <v>1772136735</v>
      </c>
      <c r="AA20" s="18" t="s">
        <v>802</v>
      </c>
      <c r="AB20" s="18" t="s">
        <v>816</v>
      </c>
      <c r="AC20" s="18" t="s">
        <v>804</v>
      </c>
      <c r="AD20" s="18" t="s">
        <v>105</v>
      </c>
      <c r="AE20" s="18" t="s">
        <v>113</v>
      </c>
      <c r="AF20" s="28"/>
      <c r="AG20" s="29"/>
      <c r="AH20" s="29"/>
      <c r="AI20" s="18">
        <v>0</v>
      </c>
      <c r="AJ20" s="19">
        <v>1885464314</v>
      </c>
      <c r="AK20" s="29" t="s">
        <v>817</v>
      </c>
      <c r="AL20" s="29" t="s">
        <v>818</v>
      </c>
      <c r="AM20" s="29" t="s">
        <v>819</v>
      </c>
      <c r="AN20" s="29" t="s">
        <v>820</v>
      </c>
      <c r="AO20" s="18" t="s">
        <v>821</v>
      </c>
      <c r="AP20" s="29" t="s">
        <v>822</v>
      </c>
      <c r="AQ20" s="29" t="s">
        <v>823</v>
      </c>
      <c r="AR20" s="36" t="str">
        <f t="shared" si="0"/>
        <v>KABUPATEN KEDIRI</v>
      </c>
      <c r="AS20" s="36"/>
      <c r="AT20" s="36"/>
      <c r="AU20" s="38"/>
    </row>
    <row r="21" spans="1:47" ht="15.75" customHeight="1" x14ac:dyDescent="0.3">
      <c r="A21" s="19">
        <v>20559</v>
      </c>
      <c r="B21" s="18" t="s">
        <v>56</v>
      </c>
      <c r="C21" s="22">
        <v>46241</v>
      </c>
      <c r="D21" s="18" t="s">
        <v>58</v>
      </c>
      <c r="E21" s="18" t="s">
        <v>825</v>
      </c>
      <c r="F21" s="25" t="s">
        <v>826</v>
      </c>
      <c r="G21" s="18" t="s">
        <v>616</v>
      </c>
      <c r="H21" s="22">
        <v>39041</v>
      </c>
      <c r="I21" s="18" t="s">
        <v>827</v>
      </c>
      <c r="J21" s="25" t="s">
        <v>828</v>
      </c>
      <c r="K21" s="18" t="s">
        <v>829</v>
      </c>
      <c r="L21" s="18" t="s">
        <v>234</v>
      </c>
      <c r="M21" s="18" t="s">
        <v>72</v>
      </c>
      <c r="N21" s="18" t="s">
        <v>830</v>
      </c>
      <c r="O21" s="18" t="s">
        <v>182</v>
      </c>
      <c r="P21" s="25" t="s">
        <v>184</v>
      </c>
      <c r="Q21" s="25" t="s">
        <v>831</v>
      </c>
      <c r="R21" s="18" t="s">
        <v>832</v>
      </c>
      <c r="S21" s="24" t="s">
        <v>833</v>
      </c>
      <c r="T21" s="18" t="s">
        <v>90</v>
      </c>
      <c r="U21" s="18" t="s">
        <v>630</v>
      </c>
      <c r="V21" s="18" t="s">
        <v>93</v>
      </c>
      <c r="W21" s="25">
        <v>0</v>
      </c>
      <c r="X21" s="18">
        <v>0</v>
      </c>
      <c r="Y21" s="18" t="s">
        <v>439</v>
      </c>
      <c r="Z21" s="19">
        <v>588901069863539</v>
      </c>
      <c r="AA21" s="18" t="s">
        <v>825</v>
      </c>
      <c r="AB21" s="18" t="s">
        <v>834</v>
      </c>
      <c r="AC21" s="18" t="s">
        <v>616</v>
      </c>
      <c r="AD21" s="18" t="s">
        <v>105</v>
      </c>
      <c r="AE21" s="18" t="s">
        <v>113</v>
      </c>
      <c r="AF21" s="28"/>
      <c r="AG21" s="29"/>
      <c r="AH21" s="29"/>
      <c r="AI21" s="18">
        <v>0</v>
      </c>
      <c r="AJ21" s="19">
        <v>0</v>
      </c>
      <c r="AK21" s="29" t="s">
        <v>835</v>
      </c>
      <c r="AL21" s="29" t="s">
        <v>836</v>
      </c>
      <c r="AM21" s="29" t="s">
        <v>837</v>
      </c>
      <c r="AN21" s="29" t="s">
        <v>838</v>
      </c>
      <c r="AO21" s="18" t="s">
        <v>840</v>
      </c>
      <c r="AP21" s="29" t="s">
        <v>842</v>
      </c>
      <c r="AQ21" s="29" t="s">
        <v>844</v>
      </c>
      <c r="AR21" s="36" t="str">
        <f t="shared" si="0"/>
        <v>KABUPATEN JEPARA</v>
      </c>
      <c r="AS21" s="36" t="s">
        <v>640</v>
      </c>
      <c r="AT21" s="36" t="s">
        <v>227</v>
      </c>
      <c r="AU21" s="38"/>
    </row>
    <row r="22" spans="1:47" ht="15.75" customHeight="1" x14ac:dyDescent="0.3">
      <c r="A22" s="19">
        <v>20562</v>
      </c>
      <c r="B22" s="18" t="s">
        <v>56</v>
      </c>
      <c r="C22" s="22">
        <v>46241</v>
      </c>
      <c r="D22" s="18" t="s">
        <v>58</v>
      </c>
      <c r="E22" s="18" t="s">
        <v>847</v>
      </c>
      <c r="F22" s="25" t="s">
        <v>848</v>
      </c>
      <c r="G22" s="18" t="s">
        <v>497</v>
      </c>
      <c r="H22" s="22">
        <v>33826</v>
      </c>
      <c r="I22" s="18" t="s">
        <v>849</v>
      </c>
      <c r="J22" s="25" t="s">
        <v>850</v>
      </c>
      <c r="K22" s="18" t="s">
        <v>851</v>
      </c>
      <c r="L22" s="18" t="s">
        <v>85</v>
      </c>
      <c r="M22" s="18" t="s">
        <v>72</v>
      </c>
      <c r="N22" s="18" t="s">
        <v>852</v>
      </c>
      <c r="O22" s="18" t="s">
        <v>182</v>
      </c>
      <c r="P22" s="25" t="s">
        <v>848</v>
      </c>
      <c r="Q22" s="25" t="s">
        <v>853</v>
      </c>
      <c r="R22" s="18" t="s">
        <v>854</v>
      </c>
      <c r="S22" s="18" t="s">
        <v>676</v>
      </c>
      <c r="T22" s="18" t="s">
        <v>508</v>
      </c>
      <c r="U22" s="18" t="s">
        <v>510</v>
      </c>
      <c r="V22" s="18" t="s">
        <v>93</v>
      </c>
      <c r="W22" s="25">
        <v>0</v>
      </c>
      <c r="X22" s="18">
        <v>0</v>
      </c>
      <c r="Y22" s="18" t="s">
        <v>97</v>
      </c>
      <c r="Z22" s="25">
        <v>7820482632</v>
      </c>
      <c r="AA22" s="18" t="s">
        <v>847</v>
      </c>
      <c r="AB22" s="18" t="s">
        <v>857</v>
      </c>
      <c r="AC22" s="18" t="s">
        <v>497</v>
      </c>
      <c r="AD22" s="18" t="s">
        <v>105</v>
      </c>
      <c r="AE22" s="18" t="s">
        <v>113</v>
      </c>
      <c r="AF22" s="28"/>
      <c r="AG22" s="29"/>
      <c r="AH22" s="29"/>
      <c r="AI22" s="18">
        <v>0</v>
      </c>
      <c r="AJ22" s="19">
        <v>0</v>
      </c>
      <c r="AK22" s="29" t="s">
        <v>862</v>
      </c>
      <c r="AL22" s="29" t="s">
        <v>863</v>
      </c>
      <c r="AM22" s="29" t="s">
        <v>865</v>
      </c>
      <c r="AN22" s="29" t="s">
        <v>866</v>
      </c>
      <c r="AO22" s="18" t="s">
        <v>867</v>
      </c>
      <c r="AP22" s="29" t="s">
        <v>869</v>
      </c>
      <c r="AQ22" s="29" t="s">
        <v>870</v>
      </c>
      <c r="AR22" s="36" t="str">
        <f t="shared" si="0"/>
        <v>KOTA BANJARMASIN</v>
      </c>
      <c r="AS22" s="36" t="s">
        <v>529</v>
      </c>
      <c r="AT22" s="36" t="s">
        <v>456</v>
      </c>
      <c r="AU22" s="38"/>
    </row>
    <row r="23" spans="1:47" ht="15.75" customHeight="1" x14ac:dyDescent="0.3">
      <c r="A23" s="19">
        <v>20563</v>
      </c>
      <c r="B23" s="18" t="s">
        <v>56</v>
      </c>
      <c r="C23" s="22">
        <v>46234</v>
      </c>
      <c r="D23" s="18" t="s">
        <v>58</v>
      </c>
      <c r="E23" s="18" t="s">
        <v>872</v>
      </c>
      <c r="F23" s="25" t="s">
        <v>874</v>
      </c>
      <c r="G23" s="18" t="s">
        <v>875</v>
      </c>
      <c r="H23" s="22">
        <v>35952</v>
      </c>
      <c r="I23" s="18" t="s">
        <v>877</v>
      </c>
      <c r="J23" s="25" t="s">
        <v>878</v>
      </c>
      <c r="K23" s="18" t="s">
        <v>879</v>
      </c>
      <c r="L23" s="18" t="s">
        <v>179</v>
      </c>
      <c r="M23" s="18" t="s">
        <v>72</v>
      </c>
      <c r="N23" s="18" t="s">
        <v>880</v>
      </c>
      <c r="O23" s="18" t="s">
        <v>182</v>
      </c>
      <c r="P23" s="25" t="s">
        <v>881</v>
      </c>
      <c r="Q23" s="25" t="s">
        <v>882</v>
      </c>
      <c r="R23" s="18" t="s">
        <v>883</v>
      </c>
      <c r="S23" s="18" t="s">
        <v>884</v>
      </c>
      <c r="T23" s="18" t="s">
        <v>813</v>
      </c>
      <c r="U23" s="18" t="s">
        <v>885</v>
      </c>
      <c r="V23" s="18" t="s">
        <v>93</v>
      </c>
      <c r="W23" s="25">
        <v>0</v>
      </c>
      <c r="X23" s="18">
        <v>0</v>
      </c>
      <c r="Y23" s="18" t="s">
        <v>229</v>
      </c>
      <c r="Z23" s="19">
        <v>1710014847837</v>
      </c>
      <c r="AA23" s="18" t="s">
        <v>872</v>
      </c>
      <c r="AB23" s="18" t="s">
        <v>879</v>
      </c>
      <c r="AC23" s="18" t="s">
        <v>875</v>
      </c>
      <c r="AD23" s="18" t="s">
        <v>105</v>
      </c>
      <c r="AE23" s="18" t="s">
        <v>113</v>
      </c>
      <c r="AF23" s="28"/>
      <c r="AG23" s="29"/>
      <c r="AH23" s="29"/>
      <c r="AI23" s="18">
        <v>0</v>
      </c>
      <c r="AJ23" s="19">
        <v>0</v>
      </c>
      <c r="AK23" s="29" t="s">
        <v>887</v>
      </c>
      <c r="AL23" s="29" t="s">
        <v>888</v>
      </c>
      <c r="AM23" s="29" t="s">
        <v>889</v>
      </c>
      <c r="AN23" s="29" t="s">
        <v>890</v>
      </c>
      <c r="AO23" s="18" t="s">
        <v>891</v>
      </c>
      <c r="AP23" s="29" t="s">
        <v>892</v>
      </c>
      <c r="AQ23" s="29" t="s">
        <v>893</v>
      </c>
      <c r="AR23" s="36" t="str">
        <f t="shared" si="0"/>
        <v>KABUPATEN NGANJUK</v>
      </c>
      <c r="AS23" s="36" t="s">
        <v>894</v>
      </c>
      <c r="AT23" s="36" t="s">
        <v>802</v>
      </c>
      <c r="AU23" s="38"/>
    </row>
    <row r="24" spans="1:47" ht="15.75" customHeight="1" x14ac:dyDescent="0.3">
      <c r="A24" s="19">
        <v>20564</v>
      </c>
      <c r="B24" s="18" t="s">
        <v>56</v>
      </c>
      <c r="C24" s="22">
        <v>46241</v>
      </c>
      <c r="D24" s="18" t="s">
        <v>58</v>
      </c>
      <c r="E24" s="18" t="s">
        <v>895</v>
      </c>
      <c r="F24" s="25" t="s">
        <v>896</v>
      </c>
      <c r="G24" s="18" t="s">
        <v>897</v>
      </c>
      <c r="H24" s="22">
        <v>35272</v>
      </c>
      <c r="I24" s="18" t="s">
        <v>898</v>
      </c>
      <c r="J24" s="25" t="s">
        <v>899</v>
      </c>
      <c r="K24" s="18" t="s">
        <v>900</v>
      </c>
      <c r="L24" s="18" t="s">
        <v>141</v>
      </c>
      <c r="M24" s="18" t="s">
        <v>72</v>
      </c>
      <c r="N24" s="18" t="s">
        <v>901</v>
      </c>
      <c r="O24" s="18" t="s">
        <v>182</v>
      </c>
      <c r="P24" s="25" t="s">
        <v>896</v>
      </c>
      <c r="Q24" s="25" t="s">
        <v>902</v>
      </c>
      <c r="R24" s="18" t="s">
        <v>904</v>
      </c>
      <c r="S24" s="24" t="s">
        <v>907</v>
      </c>
      <c r="T24" s="18" t="s">
        <v>813</v>
      </c>
      <c r="U24" s="18" t="s">
        <v>814</v>
      </c>
      <c r="V24" s="18" t="s">
        <v>93</v>
      </c>
      <c r="W24" s="25" t="s">
        <v>911</v>
      </c>
      <c r="X24" s="18" t="s">
        <v>895</v>
      </c>
      <c r="Y24" s="18" t="s">
        <v>229</v>
      </c>
      <c r="Z24" s="19">
        <v>1710017250369</v>
      </c>
      <c r="AA24" s="18" t="s">
        <v>895</v>
      </c>
      <c r="AB24" s="18" t="s">
        <v>912</v>
      </c>
      <c r="AC24" s="18" t="s">
        <v>897</v>
      </c>
      <c r="AD24" s="18" t="s">
        <v>105</v>
      </c>
      <c r="AE24" s="18" t="s">
        <v>113</v>
      </c>
      <c r="AF24" s="28"/>
      <c r="AG24" s="29"/>
      <c r="AH24" s="29"/>
      <c r="AI24" s="18">
        <v>0</v>
      </c>
      <c r="AJ24" s="19">
        <v>0</v>
      </c>
      <c r="AK24" s="29" t="s">
        <v>915</v>
      </c>
      <c r="AL24" s="29" t="s">
        <v>916</v>
      </c>
      <c r="AM24" s="29" t="s">
        <v>918</v>
      </c>
      <c r="AN24" s="29" t="s">
        <v>920</v>
      </c>
      <c r="AO24" s="18" t="s">
        <v>922</v>
      </c>
      <c r="AP24" s="29" t="s">
        <v>924</v>
      </c>
      <c r="AQ24" s="29" t="s">
        <v>925</v>
      </c>
      <c r="AR24" s="36" t="str">
        <f t="shared" si="0"/>
        <v>KABUPATEN KEDIRI</v>
      </c>
      <c r="AS24" s="36" t="s">
        <v>927</v>
      </c>
      <c r="AT24" s="36" t="s">
        <v>802</v>
      </c>
      <c r="AU24" s="38"/>
    </row>
    <row r="25" spans="1:47" ht="15.75" customHeight="1" x14ac:dyDescent="0.3">
      <c r="A25" s="19">
        <v>20565</v>
      </c>
      <c r="B25" s="18" t="s">
        <v>56</v>
      </c>
      <c r="C25" s="22">
        <v>46241</v>
      </c>
      <c r="D25" s="18" t="s">
        <v>58</v>
      </c>
      <c r="E25" s="18" t="s">
        <v>931</v>
      </c>
      <c r="F25" s="25" t="s">
        <v>932</v>
      </c>
      <c r="G25" s="18" t="s">
        <v>897</v>
      </c>
      <c r="H25" s="22">
        <v>35010</v>
      </c>
      <c r="I25" s="18" t="s">
        <v>933</v>
      </c>
      <c r="J25" s="25" t="s">
        <v>934</v>
      </c>
      <c r="K25" s="18" t="s">
        <v>935</v>
      </c>
      <c r="L25" s="18" t="s">
        <v>85</v>
      </c>
      <c r="M25" s="18" t="s">
        <v>72</v>
      </c>
      <c r="N25" s="18">
        <v>158</v>
      </c>
      <c r="O25" s="18" t="s">
        <v>182</v>
      </c>
      <c r="P25" s="25" t="s">
        <v>184</v>
      </c>
      <c r="Q25" s="25" t="s">
        <v>936</v>
      </c>
      <c r="R25" s="18" t="s">
        <v>937</v>
      </c>
      <c r="S25" s="18" t="s">
        <v>938</v>
      </c>
      <c r="T25" s="18" t="s">
        <v>813</v>
      </c>
      <c r="U25" s="18" t="s">
        <v>814</v>
      </c>
      <c r="V25" s="18" t="s">
        <v>93</v>
      </c>
      <c r="W25" s="25"/>
      <c r="X25" s="18" t="s">
        <v>940</v>
      </c>
      <c r="Y25" s="18" t="s">
        <v>97</v>
      </c>
      <c r="Z25" s="25" t="s">
        <v>941</v>
      </c>
      <c r="AA25" s="18" t="s">
        <v>931</v>
      </c>
      <c r="AB25" s="18" t="s">
        <v>942</v>
      </c>
      <c r="AC25" s="18" t="s">
        <v>897</v>
      </c>
      <c r="AD25" s="18" t="s">
        <v>105</v>
      </c>
      <c r="AE25" s="18" t="s">
        <v>113</v>
      </c>
      <c r="AF25" s="28"/>
      <c r="AG25" s="29"/>
      <c r="AH25" s="29"/>
      <c r="AI25" s="18">
        <v>0</v>
      </c>
      <c r="AJ25" s="19">
        <v>0</v>
      </c>
      <c r="AK25" s="29" t="s">
        <v>943</v>
      </c>
      <c r="AL25" s="29" t="s">
        <v>944</v>
      </c>
      <c r="AM25" s="29" t="s">
        <v>945</v>
      </c>
      <c r="AN25" s="29" t="s">
        <v>946</v>
      </c>
      <c r="AO25" s="18" t="s">
        <v>947</v>
      </c>
      <c r="AP25" s="29" t="s">
        <v>948</v>
      </c>
      <c r="AQ25" s="29" t="s">
        <v>949</v>
      </c>
      <c r="AR25" s="36" t="str">
        <f t="shared" si="0"/>
        <v>KABUPATEN KEDIRI</v>
      </c>
      <c r="AS25" s="36" t="s">
        <v>927</v>
      </c>
      <c r="AT25" s="36" t="s">
        <v>802</v>
      </c>
      <c r="AU25" s="38"/>
    </row>
    <row r="26" spans="1:47" ht="15.75" customHeight="1" x14ac:dyDescent="0.3">
      <c r="A26" s="19">
        <v>20566</v>
      </c>
      <c r="B26" s="18" t="s">
        <v>56</v>
      </c>
      <c r="C26" s="22">
        <v>46234</v>
      </c>
      <c r="D26" s="18" t="s">
        <v>58</v>
      </c>
      <c r="E26" s="18" t="s">
        <v>950</v>
      </c>
      <c r="F26" s="25" t="s">
        <v>951</v>
      </c>
      <c r="G26" s="18" t="s">
        <v>875</v>
      </c>
      <c r="H26" s="22">
        <v>36059</v>
      </c>
      <c r="I26" s="18" t="s">
        <v>952</v>
      </c>
      <c r="J26" s="25" t="s">
        <v>953</v>
      </c>
      <c r="K26" s="18" t="s">
        <v>954</v>
      </c>
      <c r="L26" s="18" t="s">
        <v>70</v>
      </c>
      <c r="M26" s="18" t="s">
        <v>72</v>
      </c>
      <c r="N26" s="18" t="s">
        <v>955</v>
      </c>
      <c r="O26" s="18" t="s">
        <v>74</v>
      </c>
      <c r="P26" s="25" t="s">
        <v>184</v>
      </c>
      <c r="Q26" s="25" t="s">
        <v>958</v>
      </c>
      <c r="R26" s="18" t="s">
        <v>960</v>
      </c>
      <c r="S26" s="24" t="s">
        <v>961</v>
      </c>
      <c r="T26" s="18" t="s">
        <v>813</v>
      </c>
      <c r="U26" s="18" t="s">
        <v>885</v>
      </c>
      <c r="V26" s="18" t="s">
        <v>93</v>
      </c>
      <c r="W26" s="25">
        <v>0</v>
      </c>
      <c r="X26" s="18">
        <v>0</v>
      </c>
      <c r="Y26" s="18" t="s">
        <v>439</v>
      </c>
      <c r="Z26" s="19">
        <v>375301036849537</v>
      </c>
      <c r="AA26" s="18" t="s">
        <v>950</v>
      </c>
      <c r="AB26" s="18" t="s">
        <v>875</v>
      </c>
      <c r="AC26" s="18" t="s">
        <v>875</v>
      </c>
      <c r="AD26" s="18" t="s">
        <v>105</v>
      </c>
      <c r="AE26" s="18" t="s">
        <v>113</v>
      </c>
      <c r="AF26" s="28"/>
      <c r="AG26" s="29"/>
      <c r="AH26" s="29"/>
      <c r="AI26" s="18">
        <v>0</v>
      </c>
      <c r="AJ26" s="19">
        <v>0</v>
      </c>
      <c r="AK26" s="29" t="s">
        <v>966</v>
      </c>
      <c r="AL26" s="29" t="s">
        <v>967</v>
      </c>
      <c r="AM26" s="29" t="s">
        <v>969</v>
      </c>
      <c r="AN26" s="29" t="s">
        <v>971</v>
      </c>
      <c r="AO26" s="18" t="s">
        <v>973</v>
      </c>
      <c r="AP26" s="29" t="s">
        <v>974</v>
      </c>
      <c r="AQ26" s="29" t="s">
        <v>975</v>
      </c>
      <c r="AR26" s="36" t="str">
        <f t="shared" si="0"/>
        <v>KABUPATEN NGANJUK</v>
      </c>
      <c r="AS26" s="36" t="s">
        <v>977</v>
      </c>
      <c r="AT26" s="36" t="s">
        <v>802</v>
      </c>
      <c r="AU26" s="38"/>
    </row>
    <row r="27" spans="1:47" ht="15.75" customHeight="1" x14ac:dyDescent="0.3">
      <c r="A27" s="19">
        <v>20567</v>
      </c>
      <c r="B27" s="18" t="s">
        <v>56</v>
      </c>
      <c r="C27" s="22">
        <v>46241</v>
      </c>
      <c r="D27" s="18" t="s">
        <v>58</v>
      </c>
      <c r="E27" s="18" t="s">
        <v>980</v>
      </c>
      <c r="F27" s="25" t="s">
        <v>981</v>
      </c>
      <c r="G27" s="18" t="s">
        <v>983</v>
      </c>
      <c r="H27" s="22">
        <v>38151</v>
      </c>
      <c r="I27" s="18" t="s">
        <v>984</v>
      </c>
      <c r="J27" s="25" t="s">
        <v>985</v>
      </c>
      <c r="K27" s="18" t="s">
        <v>986</v>
      </c>
      <c r="L27" s="18" t="s">
        <v>234</v>
      </c>
      <c r="M27" s="18" t="s">
        <v>72</v>
      </c>
      <c r="N27" s="18" t="s">
        <v>987</v>
      </c>
      <c r="O27" s="18" t="s">
        <v>182</v>
      </c>
      <c r="P27" s="25" t="s">
        <v>184</v>
      </c>
      <c r="Q27" s="25" t="s">
        <v>988</v>
      </c>
      <c r="R27" s="18" t="s">
        <v>989</v>
      </c>
      <c r="S27" s="24" t="s">
        <v>990</v>
      </c>
      <c r="T27" s="18" t="s">
        <v>813</v>
      </c>
      <c r="U27" s="18" t="s">
        <v>814</v>
      </c>
      <c r="V27" s="18" t="s">
        <v>93</v>
      </c>
      <c r="W27" s="25">
        <v>0</v>
      </c>
      <c r="X27" s="18">
        <v>0</v>
      </c>
      <c r="Y27" s="18" t="s">
        <v>97</v>
      </c>
      <c r="Z27" s="25">
        <v>1401217911</v>
      </c>
      <c r="AA27" s="18" t="s">
        <v>980</v>
      </c>
      <c r="AB27" s="18" t="s">
        <v>986</v>
      </c>
      <c r="AC27" s="18" t="s">
        <v>897</v>
      </c>
      <c r="AD27" s="18" t="s">
        <v>991</v>
      </c>
      <c r="AE27" s="18" t="s">
        <v>113</v>
      </c>
      <c r="AF27" s="28"/>
      <c r="AG27" s="29"/>
      <c r="AH27" s="29"/>
      <c r="AI27" s="18">
        <v>0</v>
      </c>
      <c r="AJ27" s="19">
        <v>0</v>
      </c>
      <c r="AK27" s="29" t="s">
        <v>992</v>
      </c>
      <c r="AL27" s="29" t="s">
        <v>993</v>
      </c>
      <c r="AM27" s="29" t="s">
        <v>994</v>
      </c>
      <c r="AN27" s="29" t="s">
        <v>995</v>
      </c>
      <c r="AO27" s="18" t="s">
        <v>996</v>
      </c>
      <c r="AP27" s="29" t="s">
        <v>997</v>
      </c>
      <c r="AQ27" s="29" t="s">
        <v>998</v>
      </c>
      <c r="AR27" s="36" t="str">
        <f t="shared" si="0"/>
        <v>KABUPATEN KEDIRI</v>
      </c>
      <c r="AS27" s="36" t="s">
        <v>999</v>
      </c>
      <c r="AT27" s="36" t="s">
        <v>802</v>
      </c>
      <c r="AU27" s="38"/>
    </row>
    <row r="28" spans="1:47" ht="15.75" customHeight="1" x14ac:dyDescent="0.3">
      <c r="A28" s="19">
        <v>20568</v>
      </c>
      <c r="B28" s="18" t="s">
        <v>56</v>
      </c>
      <c r="C28" s="22">
        <v>46234</v>
      </c>
      <c r="D28" s="18" t="s">
        <v>58</v>
      </c>
      <c r="E28" s="18" t="s">
        <v>1002</v>
      </c>
      <c r="F28" s="25" t="s">
        <v>1004</v>
      </c>
      <c r="G28" s="18" t="s">
        <v>1006</v>
      </c>
      <c r="H28" s="22">
        <v>38421</v>
      </c>
      <c r="I28" s="18" t="s">
        <v>1008</v>
      </c>
      <c r="J28" s="25" t="s">
        <v>1010</v>
      </c>
      <c r="K28" s="18" t="s">
        <v>1012</v>
      </c>
      <c r="L28" s="18" t="s">
        <v>141</v>
      </c>
      <c r="M28" s="18" t="s">
        <v>72</v>
      </c>
      <c r="N28" s="18" t="s">
        <v>1013</v>
      </c>
      <c r="O28" s="18" t="s">
        <v>74</v>
      </c>
      <c r="P28" s="25" t="s">
        <v>1014</v>
      </c>
      <c r="Q28" s="25" t="s">
        <v>1015</v>
      </c>
      <c r="R28" s="18" t="s">
        <v>1016</v>
      </c>
      <c r="S28" s="18" t="s">
        <v>1017</v>
      </c>
      <c r="T28" s="18" t="s">
        <v>813</v>
      </c>
      <c r="U28" s="18" t="s">
        <v>1020</v>
      </c>
      <c r="V28" s="18" t="s">
        <v>93</v>
      </c>
      <c r="W28" s="25">
        <v>0</v>
      </c>
      <c r="X28" s="18">
        <v>0</v>
      </c>
      <c r="Y28" s="18" t="s">
        <v>97</v>
      </c>
      <c r="Z28" s="25" t="s">
        <v>1022</v>
      </c>
      <c r="AA28" s="18" t="s">
        <v>1002</v>
      </c>
      <c r="AB28" s="18" t="s">
        <v>1024</v>
      </c>
      <c r="AC28" s="18" t="s">
        <v>1006</v>
      </c>
      <c r="AD28" s="18" t="s">
        <v>105</v>
      </c>
      <c r="AE28" s="18" t="s">
        <v>113</v>
      </c>
      <c r="AF28" s="28"/>
      <c r="AG28" s="29"/>
      <c r="AH28" s="29"/>
      <c r="AI28" s="18">
        <v>0</v>
      </c>
      <c r="AJ28" s="19">
        <v>2731635729</v>
      </c>
      <c r="AK28" s="29" t="s">
        <v>1027</v>
      </c>
      <c r="AL28" s="29" t="s">
        <v>1029</v>
      </c>
      <c r="AM28" s="29" t="s">
        <v>1031</v>
      </c>
      <c r="AN28" s="29" t="s">
        <v>1033</v>
      </c>
      <c r="AO28" s="18" t="s">
        <v>1034</v>
      </c>
      <c r="AP28" s="29" t="s">
        <v>1035</v>
      </c>
      <c r="AQ28" s="29" t="s">
        <v>1036</v>
      </c>
      <c r="AR28" s="36" t="str">
        <f t="shared" si="0"/>
        <v>KABUPATEN TULUNGAGUNG</v>
      </c>
      <c r="AS28" s="36" t="s">
        <v>1037</v>
      </c>
      <c r="AT28" s="36" t="s">
        <v>802</v>
      </c>
      <c r="AU28" s="38"/>
    </row>
    <row r="29" spans="1:47" ht="15.75" customHeight="1" x14ac:dyDescent="0.3">
      <c r="A29" s="19">
        <v>20569</v>
      </c>
      <c r="B29" s="18" t="s">
        <v>56</v>
      </c>
      <c r="C29" s="22">
        <v>46234</v>
      </c>
      <c r="D29" s="18" t="s">
        <v>58</v>
      </c>
      <c r="E29" s="18" t="s">
        <v>1038</v>
      </c>
      <c r="F29" s="25" t="s">
        <v>1039</v>
      </c>
      <c r="G29" s="18" t="s">
        <v>1006</v>
      </c>
      <c r="H29" s="22">
        <v>33452</v>
      </c>
      <c r="I29" s="18" t="s">
        <v>1041</v>
      </c>
      <c r="J29" s="25" t="s">
        <v>1043</v>
      </c>
      <c r="K29" s="18" t="s">
        <v>1044</v>
      </c>
      <c r="L29" s="18" t="s">
        <v>234</v>
      </c>
      <c r="M29" s="18" t="s">
        <v>72</v>
      </c>
      <c r="N29" s="18" t="s">
        <v>955</v>
      </c>
      <c r="O29" s="18" t="s">
        <v>92</v>
      </c>
      <c r="P29" s="25" t="s">
        <v>184</v>
      </c>
      <c r="Q29" s="25" t="s">
        <v>1049</v>
      </c>
      <c r="R29" s="18" t="s">
        <v>1050</v>
      </c>
      <c r="S29" s="18" t="s">
        <v>1052</v>
      </c>
      <c r="T29" s="18" t="s">
        <v>813</v>
      </c>
      <c r="U29" s="18" t="s">
        <v>1020</v>
      </c>
      <c r="V29" s="18" t="s">
        <v>93</v>
      </c>
      <c r="W29" s="25">
        <v>0</v>
      </c>
      <c r="X29" s="18">
        <v>0</v>
      </c>
      <c r="Y29" s="18" t="s">
        <v>97</v>
      </c>
      <c r="Z29" s="25" t="s">
        <v>1053</v>
      </c>
      <c r="AA29" s="18" t="s">
        <v>1038</v>
      </c>
      <c r="AB29" s="18" t="s">
        <v>1054</v>
      </c>
      <c r="AC29" s="18" t="s">
        <v>1006</v>
      </c>
      <c r="AD29" s="18" t="s">
        <v>105</v>
      </c>
      <c r="AE29" s="18" t="s">
        <v>113</v>
      </c>
      <c r="AF29" s="28"/>
      <c r="AG29" s="29"/>
      <c r="AH29" s="29"/>
      <c r="AI29" s="18">
        <v>0</v>
      </c>
      <c r="AJ29" s="19">
        <v>0</v>
      </c>
      <c r="AK29" s="29" t="s">
        <v>1059</v>
      </c>
      <c r="AL29" s="29" t="s">
        <v>1061</v>
      </c>
      <c r="AM29" s="29" t="s">
        <v>1062</v>
      </c>
      <c r="AN29" s="29" t="s">
        <v>1063</v>
      </c>
      <c r="AO29" s="18" t="s">
        <v>1064</v>
      </c>
      <c r="AP29" s="29" t="s">
        <v>1065</v>
      </c>
      <c r="AQ29" s="29" t="s">
        <v>1067</v>
      </c>
      <c r="AR29" s="36" t="str">
        <f t="shared" si="0"/>
        <v>KABUPATEN TULUNGAGUNG</v>
      </c>
      <c r="AS29" s="36" t="s">
        <v>1037</v>
      </c>
      <c r="AT29" s="36" t="s">
        <v>802</v>
      </c>
      <c r="AU29" s="38"/>
    </row>
    <row r="30" spans="1:47" ht="15.75" customHeight="1" x14ac:dyDescent="0.3">
      <c r="A30" s="19">
        <v>20570</v>
      </c>
      <c r="B30" s="18" t="s">
        <v>56</v>
      </c>
      <c r="C30" s="22">
        <v>46241</v>
      </c>
      <c r="D30" s="18" t="s">
        <v>58</v>
      </c>
      <c r="E30" s="18" t="s">
        <v>1069</v>
      </c>
      <c r="F30" s="25" t="s">
        <v>1070</v>
      </c>
      <c r="G30" s="18" t="s">
        <v>897</v>
      </c>
      <c r="H30" s="22">
        <v>37609</v>
      </c>
      <c r="I30" s="18" t="s">
        <v>1071</v>
      </c>
      <c r="J30" s="25" t="s">
        <v>1072</v>
      </c>
      <c r="K30" s="18" t="s">
        <v>1073</v>
      </c>
      <c r="L30" s="18" t="s">
        <v>141</v>
      </c>
      <c r="M30" s="18" t="s">
        <v>72</v>
      </c>
      <c r="N30" s="18" t="s">
        <v>1074</v>
      </c>
      <c r="O30" s="18" t="s">
        <v>74</v>
      </c>
      <c r="P30" s="25" t="s">
        <v>1070</v>
      </c>
      <c r="Q30" s="25" t="s">
        <v>1075</v>
      </c>
      <c r="R30" s="18" t="s">
        <v>1076</v>
      </c>
      <c r="S30" s="24" t="s">
        <v>1077</v>
      </c>
      <c r="T30" s="18" t="s">
        <v>813</v>
      </c>
      <c r="U30" s="18" t="s">
        <v>814</v>
      </c>
      <c r="V30" s="18" t="s">
        <v>93</v>
      </c>
      <c r="W30" s="25">
        <v>0</v>
      </c>
      <c r="X30" s="18">
        <v>0</v>
      </c>
      <c r="Y30" s="18" t="s">
        <v>97</v>
      </c>
      <c r="Z30" s="25">
        <v>1401715237</v>
      </c>
      <c r="AA30" s="18" t="s">
        <v>1069</v>
      </c>
      <c r="AB30" s="18" t="s">
        <v>1073</v>
      </c>
      <c r="AC30" s="18" t="s">
        <v>897</v>
      </c>
      <c r="AD30" s="18" t="s">
        <v>105</v>
      </c>
      <c r="AE30" s="18" t="s">
        <v>113</v>
      </c>
      <c r="AF30" s="28"/>
      <c r="AG30" s="29"/>
      <c r="AH30" s="29"/>
      <c r="AI30" s="18">
        <v>0</v>
      </c>
      <c r="AJ30" s="19">
        <v>0</v>
      </c>
      <c r="AK30" s="29" t="s">
        <v>1078</v>
      </c>
      <c r="AL30" s="29" t="s">
        <v>1079</v>
      </c>
      <c r="AM30" s="29" t="s">
        <v>1080</v>
      </c>
      <c r="AN30" s="29" t="s">
        <v>1081</v>
      </c>
      <c r="AO30" s="18" t="s">
        <v>1082</v>
      </c>
      <c r="AP30" s="29" t="s">
        <v>1083</v>
      </c>
      <c r="AQ30" s="29" t="s">
        <v>1084</v>
      </c>
      <c r="AR30" s="36" t="str">
        <f t="shared" si="0"/>
        <v>KABUPATEN KEDIRI</v>
      </c>
      <c r="AS30" s="36" t="s">
        <v>999</v>
      </c>
      <c r="AT30" s="36" t="s">
        <v>802</v>
      </c>
      <c r="AU30" s="38"/>
    </row>
    <row r="31" spans="1:47" ht="15.75" customHeight="1" x14ac:dyDescent="0.3">
      <c r="A31" s="19">
        <v>20611</v>
      </c>
      <c r="B31" s="18" t="s">
        <v>56</v>
      </c>
      <c r="C31" s="22">
        <v>46234</v>
      </c>
      <c r="D31" s="18" t="s">
        <v>58</v>
      </c>
      <c r="E31" s="18" t="s">
        <v>1086</v>
      </c>
      <c r="F31" s="25" t="s">
        <v>1087</v>
      </c>
      <c r="G31" s="18" t="s">
        <v>875</v>
      </c>
      <c r="H31" s="22">
        <v>32963</v>
      </c>
      <c r="I31" s="18" t="s">
        <v>1088</v>
      </c>
      <c r="J31" s="25" t="s">
        <v>1089</v>
      </c>
      <c r="K31" s="18" t="s">
        <v>1090</v>
      </c>
      <c r="L31" s="18" t="s">
        <v>777</v>
      </c>
      <c r="M31" s="18" t="s">
        <v>72</v>
      </c>
      <c r="N31" s="18" t="s">
        <v>1091</v>
      </c>
      <c r="O31" s="18" t="s">
        <v>182</v>
      </c>
      <c r="P31" s="25" t="s">
        <v>1092</v>
      </c>
      <c r="Q31" s="25" t="s">
        <v>1093</v>
      </c>
      <c r="R31" s="18" t="s">
        <v>1095</v>
      </c>
      <c r="S31" s="18" t="s">
        <v>1097</v>
      </c>
      <c r="T31" s="18" t="s">
        <v>813</v>
      </c>
      <c r="U31" s="18" t="s">
        <v>885</v>
      </c>
      <c r="V31" s="18" t="s">
        <v>93</v>
      </c>
      <c r="W31" s="25">
        <v>0</v>
      </c>
      <c r="X31" s="18">
        <v>0</v>
      </c>
      <c r="Y31" s="18" t="s">
        <v>439</v>
      </c>
      <c r="Z31" s="19">
        <v>642501012044533</v>
      </c>
      <c r="AA31" s="18" t="s">
        <v>1086</v>
      </c>
      <c r="AB31" s="18" t="s">
        <v>1103</v>
      </c>
      <c r="AC31" s="18" t="s">
        <v>875</v>
      </c>
      <c r="AD31" s="18" t="s">
        <v>105</v>
      </c>
      <c r="AE31" s="18" t="s">
        <v>113</v>
      </c>
      <c r="AF31" s="28"/>
      <c r="AG31" s="29"/>
      <c r="AH31" s="29"/>
      <c r="AI31" s="18">
        <v>0</v>
      </c>
      <c r="AJ31" s="19">
        <v>0</v>
      </c>
      <c r="AK31" s="29" t="s">
        <v>1113</v>
      </c>
      <c r="AL31" s="29" t="s">
        <v>1114</v>
      </c>
      <c r="AM31" s="29" t="s">
        <v>1115</v>
      </c>
      <c r="AN31" s="29" t="s">
        <v>1116</v>
      </c>
      <c r="AO31" s="18" t="s">
        <v>1117</v>
      </c>
      <c r="AP31" s="29" t="s">
        <v>1118</v>
      </c>
      <c r="AQ31" s="29" t="s">
        <v>1119</v>
      </c>
      <c r="AR31" s="36" t="str">
        <f t="shared" si="0"/>
        <v>KABUPATEN NGANJUK</v>
      </c>
      <c r="AS31" s="36" t="s">
        <v>894</v>
      </c>
      <c r="AT31" s="36" t="s">
        <v>802</v>
      </c>
      <c r="AU31" s="38"/>
    </row>
    <row r="32" spans="1:47" ht="15.75" customHeight="1" x14ac:dyDescent="0.3">
      <c r="A32" s="19">
        <v>20612</v>
      </c>
      <c r="B32" s="18" t="s">
        <v>56</v>
      </c>
      <c r="C32" s="22">
        <v>46241</v>
      </c>
      <c r="D32" s="18" t="s">
        <v>58</v>
      </c>
      <c r="E32" s="18" t="s">
        <v>1120</v>
      </c>
      <c r="F32" s="25" t="s">
        <v>1121</v>
      </c>
      <c r="G32" s="18" t="s">
        <v>1122</v>
      </c>
      <c r="H32" s="22">
        <v>38457</v>
      </c>
      <c r="I32" s="18" t="s">
        <v>1123</v>
      </c>
      <c r="J32" s="25" t="s">
        <v>1124</v>
      </c>
      <c r="K32" s="18" t="s">
        <v>1125</v>
      </c>
      <c r="L32" s="18" t="s">
        <v>141</v>
      </c>
      <c r="M32" s="18" t="s">
        <v>72</v>
      </c>
      <c r="N32" s="18" t="s">
        <v>1126</v>
      </c>
      <c r="O32" s="18" t="s">
        <v>74</v>
      </c>
      <c r="P32" s="25" t="s">
        <v>184</v>
      </c>
      <c r="Q32" s="25" t="s">
        <v>1128</v>
      </c>
      <c r="R32" s="18" t="s">
        <v>1129</v>
      </c>
      <c r="S32" s="18" t="s">
        <v>1130</v>
      </c>
      <c r="T32" s="18" t="s">
        <v>813</v>
      </c>
      <c r="U32" s="18" t="s">
        <v>1132</v>
      </c>
      <c r="V32" s="18" t="s">
        <v>93</v>
      </c>
      <c r="W32" s="25">
        <v>0</v>
      </c>
      <c r="X32" s="18">
        <v>0</v>
      </c>
      <c r="Y32" s="18" t="s">
        <v>97</v>
      </c>
      <c r="Z32" s="25">
        <v>3301379844</v>
      </c>
      <c r="AA32" s="18" t="s">
        <v>1120</v>
      </c>
      <c r="AB32" s="18" t="s">
        <v>1133</v>
      </c>
      <c r="AC32" s="18" t="s">
        <v>1132</v>
      </c>
      <c r="AD32" s="18" t="s">
        <v>105</v>
      </c>
      <c r="AE32" s="18" t="s">
        <v>113</v>
      </c>
      <c r="AF32" s="28"/>
      <c r="AG32" s="29"/>
      <c r="AH32" s="29"/>
      <c r="AI32" s="18">
        <v>0</v>
      </c>
      <c r="AJ32" s="19">
        <v>0</v>
      </c>
      <c r="AK32" s="29" t="s">
        <v>1138</v>
      </c>
      <c r="AL32" s="29" t="s">
        <v>1140</v>
      </c>
      <c r="AM32" s="29" t="s">
        <v>1142</v>
      </c>
      <c r="AN32" s="29" t="s">
        <v>1144</v>
      </c>
      <c r="AO32" s="18" t="s">
        <v>1145</v>
      </c>
      <c r="AP32" s="29" t="s">
        <v>1146</v>
      </c>
      <c r="AQ32" s="29" t="s">
        <v>1147</v>
      </c>
      <c r="AR32" s="36" t="str">
        <f t="shared" si="0"/>
        <v>KABUPATEN LAMONGAN</v>
      </c>
      <c r="AS32" s="36" t="s">
        <v>1150</v>
      </c>
      <c r="AT32" s="36" t="s">
        <v>802</v>
      </c>
      <c r="AU32" s="38"/>
    </row>
    <row r="33" spans="1:47" ht="15.75" customHeight="1" x14ac:dyDescent="0.3">
      <c r="A33" s="19">
        <v>20695</v>
      </c>
      <c r="B33" s="18" t="s">
        <v>56</v>
      </c>
      <c r="C33" s="22">
        <v>46241</v>
      </c>
      <c r="D33" s="18" t="s">
        <v>58</v>
      </c>
      <c r="E33" s="18" t="s">
        <v>1155</v>
      </c>
      <c r="F33" s="25" t="s">
        <v>1156</v>
      </c>
      <c r="G33" s="18" t="s">
        <v>897</v>
      </c>
      <c r="H33" s="22">
        <v>33366</v>
      </c>
      <c r="I33" s="18" t="s">
        <v>1158</v>
      </c>
      <c r="J33" s="25" t="s">
        <v>1159</v>
      </c>
      <c r="K33" s="18" t="s">
        <v>1161</v>
      </c>
      <c r="L33" s="18" t="s">
        <v>85</v>
      </c>
      <c r="M33" s="18" t="s">
        <v>72</v>
      </c>
      <c r="N33" s="18">
        <v>162</v>
      </c>
      <c r="O33" s="18" t="s">
        <v>92</v>
      </c>
      <c r="P33" s="25" t="s">
        <v>1162</v>
      </c>
      <c r="Q33" s="25" t="s">
        <v>1164</v>
      </c>
      <c r="R33" s="18" t="s">
        <v>1165</v>
      </c>
      <c r="S33" s="18" t="s">
        <v>676</v>
      </c>
      <c r="T33" s="18" t="s">
        <v>813</v>
      </c>
      <c r="U33" s="18" t="s">
        <v>885</v>
      </c>
      <c r="V33" s="18" t="s">
        <v>93</v>
      </c>
      <c r="W33" s="25" t="s">
        <v>1168</v>
      </c>
      <c r="X33" s="18" t="s">
        <v>1155</v>
      </c>
      <c r="Y33" s="18" t="s">
        <v>97</v>
      </c>
      <c r="Z33" s="25" t="s">
        <v>1169</v>
      </c>
      <c r="AA33" s="18" t="s">
        <v>1155</v>
      </c>
      <c r="AB33" s="18" t="s">
        <v>1171</v>
      </c>
      <c r="AC33" s="18" t="s">
        <v>897</v>
      </c>
      <c r="AD33" s="18" t="s">
        <v>105</v>
      </c>
      <c r="AE33" s="18" t="s">
        <v>113</v>
      </c>
      <c r="AF33" s="28"/>
      <c r="AG33" s="29"/>
      <c r="AH33" s="29"/>
      <c r="AI33" s="18">
        <v>0</v>
      </c>
      <c r="AJ33" s="19">
        <v>0</v>
      </c>
      <c r="AK33" s="29" t="s">
        <v>1173</v>
      </c>
      <c r="AL33" s="29" t="s">
        <v>1175</v>
      </c>
      <c r="AM33" s="29" t="s">
        <v>1177</v>
      </c>
      <c r="AN33" s="29" t="s">
        <v>1178</v>
      </c>
      <c r="AO33" s="18" t="s">
        <v>1180</v>
      </c>
      <c r="AP33" s="29" t="s">
        <v>1182</v>
      </c>
      <c r="AQ33" s="29" t="s">
        <v>1184</v>
      </c>
      <c r="AR33" s="36" t="str">
        <f t="shared" si="0"/>
        <v>KABUPATEN NGANJUK</v>
      </c>
      <c r="AS33" s="36" t="s">
        <v>977</v>
      </c>
      <c r="AT33" s="36" t="s">
        <v>802</v>
      </c>
      <c r="AU33" s="38"/>
    </row>
    <row r="34" spans="1:47" ht="15.75" customHeight="1" x14ac:dyDescent="0.3">
      <c r="A34" s="19">
        <v>19965</v>
      </c>
      <c r="B34" s="18" t="s">
        <v>57</v>
      </c>
      <c r="C34" s="22">
        <v>46171</v>
      </c>
      <c r="D34" s="18" t="s">
        <v>58</v>
      </c>
      <c r="E34" s="18" t="s">
        <v>1187</v>
      </c>
      <c r="F34" s="18" t="s">
        <v>1188</v>
      </c>
      <c r="G34" s="18" t="s">
        <v>692</v>
      </c>
      <c r="H34" s="22">
        <v>34248</v>
      </c>
      <c r="I34" s="18" t="s">
        <v>1190</v>
      </c>
      <c r="J34" s="18" t="s">
        <v>1192</v>
      </c>
      <c r="K34" s="18" t="s">
        <v>1194</v>
      </c>
      <c r="L34" s="18" t="s">
        <v>85</v>
      </c>
      <c r="M34" s="18" t="s">
        <v>72</v>
      </c>
      <c r="N34" s="18" t="s">
        <v>273</v>
      </c>
      <c r="O34" s="18" t="s">
        <v>74</v>
      </c>
      <c r="P34" s="25" t="s">
        <v>184</v>
      </c>
      <c r="Q34" s="18" t="s">
        <v>1198</v>
      </c>
      <c r="R34" s="18" t="s">
        <v>1199</v>
      </c>
      <c r="S34" s="18" t="s">
        <v>676</v>
      </c>
      <c r="T34" s="18" t="s">
        <v>102</v>
      </c>
      <c r="U34" s="18" t="s">
        <v>706</v>
      </c>
      <c r="V34" s="18" t="s">
        <v>93</v>
      </c>
      <c r="W34" s="25" t="s">
        <v>1203</v>
      </c>
      <c r="X34" s="18" t="s">
        <v>1187</v>
      </c>
      <c r="Y34" s="18" t="s">
        <v>1205</v>
      </c>
      <c r="Z34" s="18">
        <v>703231377500</v>
      </c>
      <c r="AA34" s="18" t="s">
        <v>1187</v>
      </c>
      <c r="AB34" s="18" t="s">
        <v>1194</v>
      </c>
      <c r="AC34" s="18" t="s">
        <v>63</v>
      </c>
      <c r="AD34" s="18" t="s">
        <v>105</v>
      </c>
      <c r="AE34" s="18" t="s">
        <v>113</v>
      </c>
      <c r="AF34" s="29"/>
      <c r="AG34" s="29"/>
      <c r="AH34" s="29"/>
      <c r="AI34" s="29"/>
      <c r="AJ34" s="29"/>
      <c r="AK34" s="29" t="s">
        <v>1207</v>
      </c>
      <c r="AL34" s="29" t="s">
        <v>1208</v>
      </c>
      <c r="AM34" s="29" t="s">
        <v>1209</v>
      </c>
      <c r="AN34" s="29" t="s">
        <v>1210</v>
      </c>
      <c r="AO34" s="18" t="s">
        <v>1211</v>
      </c>
      <c r="AP34" s="29" t="s">
        <v>1212</v>
      </c>
      <c r="AQ34" s="29" t="s">
        <v>1213</v>
      </c>
      <c r="AR34" s="36" t="str">
        <f t="shared" si="0"/>
        <v>KABUPATEN CIAMIS</v>
      </c>
      <c r="AS34" s="36" t="s">
        <v>725</v>
      </c>
      <c r="AT34" s="36" t="s">
        <v>59</v>
      </c>
      <c r="AU34" s="38"/>
    </row>
    <row r="35" spans="1:47" ht="15.75" customHeight="1" x14ac:dyDescent="0.3">
      <c r="A35" s="19">
        <v>19966</v>
      </c>
      <c r="B35" s="18" t="s">
        <v>57</v>
      </c>
      <c r="C35" s="22">
        <v>46171</v>
      </c>
      <c r="D35" s="18" t="s">
        <v>58</v>
      </c>
      <c r="E35" s="18" t="s">
        <v>1216</v>
      </c>
      <c r="F35" s="18" t="s">
        <v>1217</v>
      </c>
      <c r="G35" s="18" t="s">
        <v>692</v>
      </c>
      <c r="H35" s="22">
        <v>34002</v>
      </c>
      <c r="I35" s="18" t="s">
        <v>1220</v>
      </c>
      <c r="J35" s="18" t="s">
        <v>1222</v>
      </c>
      <c r="K35" s="18" t="s">
        <v>1227</v>
      </c>
      <c r="L35" s="18" t="s">
        <v>85</v>
      </c>
      <c r="M35" s="18" t="s">
        <v>72</v>
      </c>
      <c r="N35" s="18" t="s">
        <v>1230</v>
      </c>
      <c r="O35" s="18" t="s">
        <v>74</v>
      </c>
      <c r="P35" s="25" t="s">
        <v>1233</v>
      </c>
      <c r="Q35" s="18" t="s">
        <v>1234</v>
      </c>
      <c r="R35" s="18" t="s">
        <v>1236</v>
      </c>
      <c r="S35" s="18" t="s">
        <v>1237</v>
      </c>
      <c r="T35" s="18" t="s">
        <v>102</v>
      </c>
      <c r="U35" s="18" t="s">
        <v>1239</v>
      </c>
      <c r="V35" s="18" t="s">
        <v>93</v>
      </c>
      <c r="W35" s="25" t="s">
        <v>1217</v>
      </c>
      <c r="X35" s="18" t="s">
        <v>1216</v>
      </c>
      <c r="Y35" s="18" t="s">
        <v>97</v>
      </c>
      <c r="Z35" s="18">
        <v>1380472534</v>
      </c>
      <c r="AA35" s="18" t="s">
        <v>1216</v>
      </c>
      <c r="AB35" s="18" t="s">
        <v>692</v>
      </c>
      <c r="AC35" s="18" t="s">
        <v>692</v>
      </c>
      <c r="AD35" s="18" t="s">
        <v>105</v>
      </c>
      <c r="AE35" s="18" t="s">
        <v>113</v>
      </c>
      <c r="AF35" s="29"/>
      <c r="AG35" s="29"/>
      <c r="AH35" s="29"/>
      <c r="AI35" s="29"/>
      <c r="AJ35" s="29"/>
      <c r="AK35" s="29" t="s">
        <v>1243</v>
      </c>
      <c r="AL35" s="29" t="s">
        <v>1244</v>
      </c>
      <c r="AM35" s="29" t="s">
        <v>1246</v>
      </c>
      <c r="AN35" s="29" t="s">
        <v>1247</v>
      </c>
      <c r="AO35" s="18" t="s">
        <v>1248</v>
      </c>
      <c r="AP35" s="29" t="s">
        <v>1249</v>
      </c>
      <c r="AQ35" s="29" t="s">
        <v>1250</v>
      </c>
      <c r="AR35" s="36" t="str">
        <f t="shared" si="0"/>
        <v>KOTA BANJAR</v>
      </c>
      <c r="AS35" s="36" t="s">
        <v>725</v>
      </c>
      <c r="AT35" s="36" t="s">
        <v>59</v>
      </c>
      <c r="AU35" s="38"/>
    </row>
    <row r="36" spans="1:47" ht="15.75" customHeight="1" x14ac:dyDescent="0.3">
      <c r="A36" s="19">
        <v>19964</v>
      </c>
      <c r="B36" s="18" t="s">
        <v>57</v>
      </c>
      <c r="C36" s="22">
        <v>46171</v>
      </c>
      <c r="D36" s="18" t="s">
        <v>58</v>
      </c>
      <c r="E36" s="18" t="s">
        <v>1256</v>
      </c>
      <c r="F36" s="18" t="s">
        <v>1258</v>
      </c>
      <c r="G36" s="18" t="s">
        <v>76</v>
      </c>
      <c r="H36" s="22">
        <v>33340</v>
      </c>
      <c r="I36" s="18" t="s">
        <v>1259</v>
      </c>
      <c r="J36" s="18" t="s">
        <v>1260</v>
      </c>
      <c r="K36" s="18" t="s">
        <v>1261</v>
      </c>
      <c r="L36" s="18" t="s">
        <v>85</v>
      </c>
      <c r="M36" s="18" t="s">
        <v>72</v>
      </c>
      <c r="N36" s="18" t="s">
        <v>1263</v>
      </c>
      <c r="O36" s="18" t="s">
        <v>92</v>
      </c>
      <c r="P36" s="25" t="s">
        <v>1266</v>
      </c>
      <c r="Q36" s="18" t="s">
        <v>1267</v>
      </c>
      <c r="R36" s="18" t="s">
        <v>1269</v>
      </c>
      <c r="S36" s="18" t="s">
        <v>1271</v>
      </c>
      <c r="T36" s="18" t="s">
        <v>102</v>
      </c>
      <c r="U36" s="18" t="s">
        <v>103</v>
      </c>
      <c r="V36" s="18" t="s">
        <v>93</v>
      </c>
      <c r="W36" s="25">
        <v>0</v>
      </c>
      <c r="X36" s="18">
        <v>0</v>
      </c>
      <c r="Y36" s="18" t="s">
        <v>229</v>
      </c>
      <c r="Z36" s="18">
        <v>1770022483173</v>
      </c>
      <c r="AA36" s="18" t="s">
        <v>1275</v>
      </c>
      <c r="AB36" s="18" t="s">
        <v>1277</v>
      </c>
      <c r="AC36" s="18" t="s">
        <v>76</v>
      </c>
      <c r="AD36" s="18" t="s">
        <v>105</v>
      </c>
      <c r="AE36" s="18" t="s">
        <v>113</v>
      </c>
      <c r="AF36" s="29"/>
      <c r="AG36" s="29"/>
      <c r="AH36" s="29"/>
      <c r="AI36" s="29"/>
      <c r="AJ36" s="29"/>
      <c r="AK36" s="29" t="s">
        <v>1282</v>
      </c>
      <c r="AL36" s="29" t="s">
        <v>1283</v>
      </c>
      <c r="AM36" s="29" t="s">
        <v>1284</v>
      </c>
      <c r="AN36" s="29" t="s">
        <v>1286</v>
      </c>
      <c r="AO36" s="18" t="s">
        <v>1287</v>
      </c>
      <c r="AP36" s="29" t="s">
        <v>1288</v>
      </c>
      <c r="AQ36" s="29" t="s">
        <v>1289</v>
      </c>
      <c r="AR36" s="36" t="str">
        <f t="shared" si="0"/>
        <v>KABUPATEN TASIKMALAYA</v>
      </c>
      <c r="AS36" s="36" t="s">
        <v>1291</v>
      </c>
      <c r="AT36" s="36" t="s">
        <v>59</v>
      </c>
      <c r="AU36" s="38"/>
    </row>
    <row r="37" spans="1:47" ht="15.75" customHeight="1" x14ac:dyDescent="0.3">
      <c r="A37" s="19">
        <v>20143</v>
      </c>
      <c r="B37" s="18" t="s">
        <v>57</v>
      </c>
      <c r="C37" s="22">
        <v>46171</v>
      </c>
      <c r="D37" s="18" t="s">
        <v>58</v>
      </c>
      <c r="E37" s="18" t="s">
        <v>1295</v>
      </c>
      <c r="F37" s="18" t="s">
        <v>1297</v>
      </c>
      <c r="G37" s="18" t="s">
        <v>307</v>
      </c>
      <c r="H37" s="22">
        <v>37567</v>
      </c>
      <c r="I37" s="18" t="s">
        <v>1300</v>
      </c>
      <c r="J37" s="18" t="s">
        <v>1302</v>
      </c>
      <c r="K37" s="18" t="s">
        <v>1303</v>
      </c>
      <c r="L37" s="18" t="s">
        <v>141</v>
      </c>
      <c r="M37" s="18" t="s">
        <v>72</v>
      </c>
      <c r="N37" s="18" t="s">
        <v>1304</v>
      </c>
      <c r="O37" s="18" t="s">
        <v>92</v>
      </c>
      <c r="P37" s="25" t="s">
        <v>184</v>
      </c>
      <c r="Q37" s="18" t="s">
        <v>1306</v>
      </c>
      <c r="R37" s="18" t="s">
        <v>1308</v>
      </c>
      <c r="S37" s="18" t="s">
        <v>1309</v>
      </c>
      <c r="T37" s="18" t="s">
        <v>102</v>
      </c>
      <c r="U37" s="18" t="s">
        <v>108</v>
      </c>
      <c r="V37" s="18" t="s">
        <v>93</v>
      </c>
      <c r="W37" s="25">
        <v>0</v>
      </c>
      <c r="X37" s="18">
        <v>0</v>
      </c>
      <c r="Y37" s="18" t="s">
        <v>439</v>
      </c>
      <c r="Z37" s="18">
        <v>377401103956532</v>
      </c>
      <c r="AA37" s="18" t="s">
        <v>1295</v>
      </c>
      <c r="AB37" s="18" t="s">
        <v>1303</v>
      </c>
      <c r="AC37" s="18" t="s">
        <v>108</v>
      </c>
      <c r="AD37" s="18" t="s">
        <v>105</v>
      </c>
      <c r="AE37" s="18" t="s">
        <v>113</v>
      </c>
      <c r="AF37" s="27"/>
      <c r="AG37" s="29"/>
      <c r="AH37" s="29"/>
      <c r="AI37" s="29"/>
      <c r="AJ37" s="29"/>
      <c r="AK37" s="29" t="s">
        <v>1317</v>
      </c>
      <c r="AL37" s="29" t="s">
        <v>1318</v>
      </c>
      <c r="AM37" s="29" t="s">
        <v>1319</v>
      </c>
      <c r="AN37" s="29" t="s">
        <v>1320</v>
      </c>
      <c r="AO37" s="18" t="s">
        <v>1321</v>
      </c>
      <c r="AP37" s="29" t="s">
        <v>1323</v>
      </c>
      <c r="AQ37" s="29" t="s">
        <v>1324</v>
      </c>
      <c r="AR37" s="36" t="str">
        <f t="shared" si="0"/>
        <v>KABUPATEN BANDUNG</v>
      </c>
      <c r="AS37" s="36" t="s">
        <v>1325</v>
      </c>
      <c r="AT37" s="36" t="s">
        <v>59</v>
      </c>
      <c r="AU37" s="38"/>
    </row>
    <row r="38" spans="1:47" ht="15.75" customHeight="1" x14ac:dyDescent="0.3">
      <c r="A38" s="19">
        <v>20183</v>
      </c>
      <c r="B38" s="18" t="s">
        <v>57</v>
      </c>
      <c r="C38" s="22">
        <v>46171</v>
      </c>
      <c r="D38" s="18" t="s">
        <v>58</v>
      </c>
      <c r="E38" s="18" t="s">
        <v>397</v>
      </c>
      <c r="F38" s="18" t="s">
        <v>1330</v>
      </c>
      <c r="G38" s="18" t="s">
        <v>358</v>
      </c>
      <c r="H38" s="22">
        <v>36671</v>
      </c>
      <c r="I38" s="18" t="s">
        <v>1333</v>
      </c>
      <c r="J38" s="18" t="s">
        <v>1334</v>
      </c>
      <c r="K38" s="18" t="s">
        <v>1335</v>
      </c>
      <c r="L38" s="18" t="s">
        <v>85</v>
      </c>
      <c r="M38" s="18" t="s">
        <v>72</v>
      </c>
      <c r="N38" s="18" t="s">
        <v>73</v>
      </c>
      <c r="O38" s="18" t="s">
        <v>182</v>
      </c>
      <c r="P38" s="25" t="s">
        <v>184</v>
      </c>
      <c r="Q38" s="18" t="s">
        <v>1336</v>
      </c>
      <c r="R38" s="18" t="s">
        <v>1338</v>
      </c>
      <c r="S38" s="18" t="s">
        <v>1340</v>
      </c>
      <c r="T38" s="18" t="s">
        <v>102</v>
      </c>
      <c r="U38" s="18" t="s">
        <v>108</v>
      </c>
      <c r="V38" s="18" t="s">
        <v>93</v>
      </c>
      <c r="W38" s="25" t="s">
        <v>1330</v>
      </c>
      <c r="X38" s="18" t="s">
        <v>1344</v>
      </c>
      <c r="Y38" s="18" t="s">
        <v>97</v>
      </c>
      <c r="Z38" s="18">
        <v>1570527203</v>
      </c>
      <c r="AA38" s="18" t="s">
        <v>1344</v>
      </c>
      <c r="AB38" s="18" t="s">
        <v>1335</v>
      </c>
      <c r="AC38" s="18" t="s">
        <v>358</v>
      </c>
      <c r="AD38" s="18" t="s">
        <v>105</v>
      </c>
      <c r="AE38" s="18" t="s">
        <v>113</v>
      </c>
      <c r="AF38" s="27"/>
      <c r="AG38" s="29"/>
      <c r="AH38" s="29"/>
      <c r="AI38" s="29"/>
      <c r="AJ38" s="29"/>
      <c r="AK38" s="29" t="s">
        <v>1349</v>
      </c>
      <c r="AL38" s="29" t="s">
        <v>1350</v>
      </c>
      <c r="AM38" s="29" t="s">
        <v>1351</v>
      </c>
      <c r="AN38" s="29" t="s">
        <v>1352</v>
      </c>
      <c r="AO38" s="18" t="s">
        <v>1353</v>
      </c>
      <c r="AP38" s="29" t="s">
        <v>1354</v>
      </c>
      <c r="AQ38" s="29" t="s">
        <v>1355</v>
      </c>
      <c r="AR38" s="36" t="str">
        <f t="shared" si="0"/>
        <v>KABUPATEN BANDUNG</v>
      </c>
      <c r="AS38" s="36" t="s">
        <v>1325</v>
      </c>
      <c r="AT38" s="36" t="s">
        <v>59</v>
      </c>
      <c r="AU38" s="38"/>
    </row>
    <row r="39" spans="1:47" ht="15.75" customHeight="1" x14ac:dyDescent="0.3">
      <c r="A39" s="19">
        <v>20221</v>
      </c>
      <c r="B39" s="18" t="s">
        <v>56</v>
      </c>
      <c r="C39" s="22">
        <v>46171</v>
      </c>
      <c r="D39" s="18" t="s">
        <v>58</v>
      </c>
      <c r="E39" s="18" t="s">
        <v>753</v>
      </c>
      <c r="F39" s="18" t="s">
        <v>756</v>
      </c>
      <c r="G39" s="18" t="s">
        <v>171</v>
      </c>
      <c r="H39" s="22">
        <v>34464</v>
      </c>
      <c r="I39" s="18" t="s">
        <v>1360</v>
      </c>
      <c r="J39" s="18" t="s">
        <v>1361</v>
      </c>
      <c r="K39" s="18" t="s">
        <v>1363</v>
      </c>
      <c r="L39" s="18" t="s">
        <v>179</v>
      </c>
      <c r="M39" s="18" t="s">
        <v>72</v>
      </c>
      <c r="N39" s="18" t="s">
        <v>180</v>
      </c>
      <c r="O39" s="18" t="s">
        <v>182</v>
      </c>
      <c r="P39" s="25" t="s">
        <v>756</v>
      </c>
      <c r="Q39" s="18" t="s">
        <v>1367</v>
      </c>
      <c r="R39" s="18" t="s">
        <v>1368</v>
      </c>
      <c r="S39" s="18" t="s">
        <v>1369</v>
      </c>
      <c r="T39" s="18" t="s">
        <v>90</v>
      </c>
      <c r="U39" s="18" t="s">
        <v>213</v>
      </c>
      <c r="V39" s="18" t="s">
        <v>93</v>
      </c>
      <c r="W39" s="25">
        <v>0</v>
      </c>
      <c r="X39" s="18">
        <v>0</v>
      </c>
      <c r="Y39" s="18" t="s">
        <v>97</v>
      </c>
      <c r="Z39" s="18">
        <v>3620575959</v>
      </c>
      <c r="AA39" s="18" t="s">
        <v>753</v>
      </c>
      <c r="AB39" s="18" t="s">
        <v>1373</v>
      </c>
      <c r="AC39" s="18" t="s">
        <v>171</v>
      </c>
      <c r="AD39" s="18" t="s">
        <v>105</v>
      </c>
      <c r="AE39" s="18" t="s">
        <v>113</v>
      </c>
      <c r="AF39" s="28"/>
      <c r="AG39" s="29"/>
      <c r="AH39" s="29"/>
      <c r="AI39" s="18">
        <v>0</v>
      </c>
      <c r="AJ39" s="18">
        <v>1031151699</v>
      </c>
      <c r="AK39" s="29" t="s">
        <v>1378</v>
      </c>
      <c r="AL39" s="70" t="s">
        <v>1380</v>
      </c>
      <c r="AM39" s="29" t="s">
        <v>1400</v>
      </c>
      <c r="AN39" s="29" t="s">
        <v>1401</v>
      </c>
      <c r="AO39" s="18" t="s">
        <v>1403</v>
      </c>
      <c r="AP39" s="29" t="s">
        <v>1405</v>
      </c>
      <c r="AQ39" s="29" t="s">
        <v>1406</v>
      </c>
      <c r="AR39" s="36" t="str">
        <f t="shared" si="0"/>
        <v>KABUPATEN TEGAL</v>
      </c>
      <c r="AS39" s="36" t="s">
        <v>665</v>
      </c>
      <c r="AT39" s="36" t="s">
        <v>227</v>
      </c>
      <c r="AU39" s="38"/>
    </row>
    <row r="40" spans="1:47" ht="15.75" customHeight="1" x14ac:dyDescent="0.3">
      <c r="A40" s="19">
        <v>20237</v>
      </c>
      <c r="B40" s="18" t="s">
        <v>57</v>
      </c>
      <c r="C40" s="22">
        <v>46171</v>
      </c>
      <c r="D40" s="18" t="s">
        <v>58</v>
      </c>
      <c r="E40" s="18" t="s">
        <v>1410</v>
      </c>
      <c r="F40" s="18" t="s">
        <v>1412</v>
      </c>
      <c r="G40" s="18" t="s">
        <v>1414</v>
      </c>
      <c r="H40" s="22">
        <v>35394</v>
      </c>
      <c r="I40" s="18" t="s">
        <v>1416</v>
      </c>
      <c r="J40" s="18" t="s">
        <v>1418</v>
      </c>
      <c r="K40" s="18" t="s">
        <v>1419</v>
      </c>
      <c r="L40" s="18" t="s">
        <v>179</v>
      </c>
      <c r="M40" s="18" t="s">
        <v>72</v>
      </c>
      <c r="N40" s="18" t="s">
        <v>1420</v>
      </c>
      <c r="O40" s="18" t="s">
        <v>74</v>
      </c>
      <c r="P40" s="25" t="s">
        <v>184</v>
      </c>
      <c r="Q40" s="18" t="s">
        <v>1421</v>
      </c>
      <c r="R40" s="18" t="s">
        <v>1423</v>
      </c>
      <c r="S40" s="18" t="s">
        <v>1425</v>
      </c>
      <c r="T40" s="18" t="s">
        <v>102</v>
      </c>
      <c r="U40" s="18" t="s">
        <v>1429</v>
      </c>
      <c r="V40" s="18" t="s">
        <v>93</v>
      </c>
      <c r="W40" s="25" t="s">
        <v>1412</v>
      </c>
      <c r="X40" s="18" t="s">
        <v>1410</v>
      </c>
      <c r="Y40" s="18" t="s">
        <v>97</v>
      </c>
      <c r="Z40" s="18">
        <v>552678557</v>
      </c>
      <c r="AA40" s="18" t="s">
        <v>1410</v>
      </c>
      <c r="AB40" s="18" t="s">
        <v>1432</v>
      </c>
      <c r="AC40" s="18" t="s">
        <v>1414</v>
      </c>
      <c r="AD40" s="18" t="s">
        <v>105</v>
      </c>
      <c r="AE40" s="18" t="s">
        <v>113</v>
      </c>
      <c r="AF40" s="28"/>
      <c r="AG40" s="29"/>
      <c r="AH40" s="29"/>
      <c r="AI40" s="18">
        <v>0</v>
      </c>
      <c r="AJ40" s="18">
        <v>0</v>
      </c>
      <c r="AK40" s="29" t="s">
        <v>1435</v>
      </c>
      <c r="AL40" s="33" t="s">
        <v>1436</v>
      </c>
      <c r="AM40" s="29" t="s">
        <v>1452</v>
      </c>
      <c r="AN40" s="29" t="s">
        <v>1453</v>
      </c>
      <c r="AO40" s="18" t="s">
        <v>1454</v>
      </c>
      <c r="AP40" s="29" t="s">
        <v>1455</v>
      </c>
      <c r="AQ40" s="29" t="s">
        <v>1456</v>
      </c>
      <c r="AR40" s="36" t="str">
        <f t="shared" si="0"/>
        <v>KABUPATEN SUBANG</v>
      </c>
      <c r="AS40" s="36" t="s">
        <v>1458</v>
      </c>
      <c r="AT40" s="36" t="s">
        <v>59</v>
      </c>
      <c r="AU40" s="38"/>
    </row>
    <row r="41" spans="1:47" ht="15.75" customHeight="1" x14ac:dyDescent="0.3">
      <c r="A41" s="19">
        <v>20239</v>
      </c>
      <c r="B41" s="18" t="s">
        <v>57</v>
      </c>
      <c r="C41" s="22">
        <v>46171</v>
      </c>
      <c r="D41" s="18" t="s">
        <v>58</v>
      </c>
      <c r="E41" s="18" t="s">
        <v>1460</v>
      </c>
      <c r="F41" s="18" t="s">
        <v>1461</v>
      </c>
      <c r="G41" s="18" t="s">
        <v>1463</v>
      </c>
      <c r="H41" s="22">
        <v>35230</v>
      </c>
      <c r="I41" s="18" t="s">
        <v>1465</v>
      </c>
      <c r="J41" s="18" t="s">
        <v>1467</v>
      </c>
      <c r="K41" s="18" t="s">
        <v>1469</v>
      </c>
      <c r="L41" s="18" t="s">
        <v>179</v>
      </c>
      <c r="M41" s="18" t="s">
        <v>72</v>
      </c>
      <c r="N41" s="18" t="s">
        <v>620</v>
      </c>
      <c r="O41" s="18" t="s">
        <v>182</v>
      </c>
      <c r="P41" s="25" t="s">
        <v>184</v>
      </c>
      <c r="Q41" s="18" t="s">
        <v>1472</v>
      </c>
      <c r="R41" s="18" t="s">
        <v>1473</v>
      </c>
      <c r="S41" s="18" t="s">
        <v>1474</v>
      </c>
      <c r="T41" s="18" t="s">
        <v>102</v>
      </c>
      <c r="U41" s="18" t="s">
        <v>1429</v>
      </c>
      <c r="V41" s="18" t="s">
        <v>93</v>
      </c>
      <c r="W41" s="25" t="s">
        <v>1461</v>
      </c>
      <c r="X41" s="18" t="s">
        <v>1478</v>
      </c>
      <c r="Y41" s="18" t="s">
        <v>97</v>
      </c>
      <c r="Z41" s="18">
        <v>552664939</v>
      </c>
      <c r="AA41" s="18" t="s">
        <v>1478</v>
      </c>
      <c r="AB41" s="18" t="s">
        <v>1482</v>
      </c>
      <c r="AC41" s="18" t="s">
        <v>1463</v>
      </c>
      <c r="AD41" s="18" t="s">
        <v>105</v>
      </c>
      <c r="AE41" s="18" t="s">
        <v>113</v>
      </c>
      <c r="AF41" s="28"/>
      <c r="AG41" s="29"/>
      <c r="AH41" s="29"/>
      <c r="AI41" s="18">
        <v>0</v>
      </c>
      <c r="AJ41" s="18">
        <v>2908059592</v>
      </c>
      <c r="AK41" s="29" t="s">
        <v>1486</v>
      </c>
      <c r="AL41" s="29" t="s">
        <v>1488</v>
      </c>
      <c r="AM41" s="29" t="s">
        <v>1489</v>
      </c>
      <c r="AN41" s="29" t="s">
        <v>1490</v>
      </c>
      <c r="AO41" s="18" t="s">
        <v>1491</v>
      </c>
      <c r="AP41" s="29" t="s">
        <v>1492</v>
      </c>
      <c r="AQ41" s="29" t="s">
        <v>1493</v>
      </c>
      <c r="AR41" s="36" t="str">
        <f t="shared" si="0"/>
        <v>KABUPATEN SUBANG</v>
      </c>
      <c r="AS41" s="36" t="s">
        <v>1458</v>
      </c>
      <c r="AT41" s="36" t="s">
        <v>59</v>
      </c>
      <c r="AU41" s="38"/>
    </row>
    <row r="42" spans="1:47" ht="15.75" customHeight="1" x14ac:dyDescent="0.3">
      <c r="A42" s="19">
        <v>20336</v>
      </c>
      <c r="B42" s="18" t="s">
        <v>57</v>
      </c>
      <c r="C42" s="22">
        <v>46171</v>
      </c>
      <c r="D42" s="18" t="s">
        <v>58</v>
      </c>
      <c r="E42" s="18" t="s">
        <v>1494</v>
      </c>
      <c r="F42" s="18" t="s">
        <v>1496</v>
      </c>
      <c r="G42" s="18" t="s">
        <v>63</v>
      </c>
      <c r="H42" s="22">
        <v>35184</v>
      </c>
      <c r="I42" s="18" t="s">
        <v>1498</v>
      </c>
      <c r="J42" s="18" t="s">
        <v>1500</v>
      </c>
      <c r="K42" s="18" t="s">
        <v>1501</v>
      </c>
      <c r="L42" s="18" t="s">
        <v>179</v>
      </c>
      <c r="M42" s="18" t="s">
        <v>72</v>
      </c>
      <c r="N42" s="18" t="s">
        <v>1504</v>
      </c>
      <c r="O42" s="18" t="s">
        <v>182</v>
      </c>
      <c r="P42" s="25" t="s">
        <v>1506</v>
      </c>
      <c r="Q42" s="18" t="s">
        <v>1507</v>
      </c>
      <c r="R42" s="18" t="s">
        <v>1508</v>
      </c>
      <c r="S42" s="18" t="s">
        <v>1509</v>
      </c>
      <c r="T42" s="18" t="s">
        <v>102</v>
      </c>
      <c r="U42" s="18" t="s">
        <v>103</v>
      </c>
      <c r="V42" s="18" t="s">
        <v>93</v>
      </c>
      <c r="W42" s="25" t="s">
        <v>1510</v>
      </c>
      <c r="X42" s="18" t="s">
        <v>1494</v>
      </c>
      <c r="Y42" s="18" t="s">
        <v>97</v>
      </c>
      <c r="Z42" s="18">
        <v>2091088624</v>
      </c>
      <c r="AA42" s="18" t="s">
        <v>1494</v>
      </c>
      <c r="AB42" s="18" t="s">
        <v>1514</v>
      </c>
      <c r="AC42" s="18" t="s">
        <v>63</v>
      </c>
      <c r="AD42" s="18" t="s">
        <v>105</v>
      </c>
      <c r="AE42" s="18" t="s">
        <v>113</v>
      </c>
      <c r="AF42" s="28"/>
      <c r="AG42" s="29"/>
      <c r="AH42" s="29"/>
      <c r="AI42" s="18">
        <v>0</v>
      </c>
      <c r="AJ42" s="18">
        <v>0</v>
      </c>
      <c r="AK42" s="29" t="s">
        <v>1518</v>
      </c>
      <c r="AL42" s="29" t="s">
        <v>1520</v>
      </c>
      <c r="AM42" s="29" t="s">
        <v>1521</v>
      </c>
      <c r="AN42" s="29" t="s">
        <v>1523</v>
      </c>
      <c r="AO42" s="18" t="s">
        <v>1525</v>
      </c>
      <c r="AP42" s="29" t="s">
        <v>1526</v>
      </c>
      <c r="AQ42" s="29" t="s">
        <v>1528</v>
      </c>
      <c r="AR42" s="36" t="str">
        <f t="shared" si="0"/>
        <v>KABUPATEN TASIKMALAYA</v>
      </c>
      <c r="AS42" s="36" t="s">
        <v>219</v>
      </c>
      <c r="AT42" s="36" t="s">
        <v>59</v>
      </c>
      <c r="AU42" s="38"/>
    </row>
    <row r="43" spans="1:47" ht="15.75" customHeight="1" x14ac:dyDescent="0.3">
      <c r="A43" s="19">
        <v>20808</v>
      </c>
      <c r="B43" s="18" t="s">
        <v>56</v>
      </c>
      <c r="C43" s="22" t="s">
        <v>1531</v>
      </c>
      <c r="D43" s="18" t="s">
        <v>58</v>
      </c>
      <c r="E43" s="18" t="s">
        <v>1532</v>
      </c>
      <c r="F43" s="25" t="s">
        <v>1533</v>
      </c>
      <c r="G43" s="18" t="s">
        <v>1477</v>
      </c>
      <c r="H43" s="22">
        <v>35723</v>
      </c>
      <c r="I43" s="18" t="s">
        <v>1534</v>
      </c>
      <c r="J43" s="25" t="s">
        <v>1535</v>
      </c>
      <c r="K43" s="18" t="s">
        <v>1536</v>
      </c>
      <c r="L43" s="18" t="s">
        <v>85</v>
      </c>
      <c r="M43" s="18" t="s">
        <v>72</v>
      </c>
      <c r="N43" s="18" t="s">
        <v>405</v>
      </c>
      <c r="O43" s="18" t="s">
        <v>74</v>
      </c>
      <c r="P43" s="25" t="s">
        <v>184</v>
      </c>
      <c r="Q43" s="25" t="s">
        <v>1537</v>
      </c>
      <c r="R43" s="18" t="s">
        <v>1538</v>
      </c>
      <c r="S43" s="18" t="s">
        <v>1540</v>
      </c>
      <c r="T43" s="18" t="s">
        <v>90</v>
      </c>
      <c r="U43" s="18" t="s">
        <v>91</v>
      </c>
      <c r="V43" s="18" t="s">
        <v>93</v>
      </c>
      <c r="W43" s="25">
        <v>0</v>
      </c>
      <c r="X43" s="18">
        <v>0</v>
      </c>
      <c r="Y43" s="18" t="s">
        <v>97</v>
      </c>
      <c r="Z43" s="25" t="s">
        <v>1544</v>
      </c>
      <c r="AA43" s="18" t="s">
        <v>1532</v>
      </c>
      <c r="AB43" s="18" t="s">
        <v>1546</v>
      </c>
      <c r="AC43" s="18" t="s">
        <v>1548</v>
      </c>
      <c r="AD43" s="18" t="s">
        <v>105</v>
      </c>
      <c r="AE43" s="18" t="s">
        <v>113</v>
      </c>
      <c r="AF43" s="28"/>
      <c r="AG43" s="29"/>
      <c r="AH43" s="29"/>
      <c r="AI43" s="18">
        <v>0</v>
      </c>
      <c r="AJ43" s="19">
        <v>0</v>
      </c>
      <c r="AK43" s="29" t="s">
        <v>1550</v>
      </c>
      <c r="AL43" s="29" t="s">
        <v>1551</v>
      </c>
      <c r="AM43" s="29" t="s">
        <v>1552</v>
      </c>
      <c r="AN43" s="29" t="s">
        <v>1554</v>
      </c>
      <c r="AO43" s="18" t="s">
        <v>1556</v>
      </c>
      <c r="AP43" s="29" t="s">
        <v>1557</v>
      </c>
      <c r="AQ43" s="29" t="s">
        <v>1558</v>
      </c>
      <c r="AR43" s="36" t="str">
        <f t="shared" si="0"/>
        <v>KABUPATEN PURWOKERTO</v>
      </c>
      <c r="AS43" s="36" t="s">
        <v>765</v>
      </c>
      <c r="AT43" s="36" t="s">
        <v>227</v>
      </c>
      <c r="AU43" s="38"/>
    </row>
    <row r="44" spans="1:47" ht="15.75" customHeight="1" x14ac:dyDescent="0.3">
      <c r="A44" s="19">
        <v>20809</v>
      </c>
      <c r="B44" s="18" t="s">
        <v>56</v>
      </c>
      <c r="C44" s="22" t="s">
        <v>1531</v>
      </c>
      <c r="D44" s="18" t="s">
        <v>58</v>
      </c>
      <c r="E44" s="18" t="s">
        <v>1565</v>
      </c>
      <c r="F44" s="25" t="s">
        <v>1566</v>
      </c>
      <c r="G44" s="18" t="s">
        <v>1513</v>
      </c>
      <c r="H44" s="22">
        <v>33916</v>
      </c>
      <c r="I44" s="18" t="s">
        <v>1568</v>
      </c>
      <c r="J44" s="25" t="s">
        <v>1569</v>
      </c>
      <c r="K44" s="18" t="s">
        <v>1570</v>
      </c>
      <c r="L44" s="18" t="s">
        <v>70</v>
      </c>
      <c r="M44" s="18" t="s">
        <v>72</v>
      </c>
      <c r="N44" s="18" t="s">
        <v>1571</v>
      </c>
      <c r="O44" s="18" t="s">
        <v>74</v>
      </c>
      <c r="P44" s="25" t="s">
        <v>1572</v>
      </c>
      <c r="Q44" s="25" t="s">
        <v>1573</v>
      </c>
      <c r="R44" s="18" t="s">
        <v>1574</v>
      </c>
      <c r="S44" s="24" t="s">
        <v>1575</v>
      </c>
      <c r="T44" s="18" t="s">
        <v>90</v>
      </c>
      <c r="U44" s="18" t="s">
        <v>1576</v>
      </c>
      <c r="V44" s="18" t="s">
        <v>93</v>
      </c>
      <c r="W44" s="25">
        <v>0</v>
      </c>
      <c r="X44" s="18">
        <v>0</v>
      </c>
      <c r="Y44" s="18" t="s">
        <v>97</v>
      </c>
      <c r="Z44" s="25" t="s">
        <v>1578</v>
      </c>
      <c r="AA44" s="18" t="s">
        <v>1565</v>
      </c>
      <c r="AB44" s="18" t="s">
        <v>1582</v>
      </c>
      <c r="AC44" s="18" t="s">
        <v>1513</v>
      </c>
      <c r="AD44" s="18" t="s">
        <v>105</v>
      </c>
      <c r="AE44" s="18" t="s">
        <v>113</v>
      </c>
      <c r="AF44" s="28"/>
      <c r="AG44" s="29"/>
      <c r="AH44" s="29"/>
      <c r="AI44" s="18">
        <v>0</v>
      </c>
      <c r="AJ44" s="19">
        <v>0</v>
      </c>
      <c r="AK44" s="29" t="s">
        <v>1586</v>
      </c>
      <c r="AL44" s="29" t="s">
        <v>1587</v>
      </c>
      <c r="AM44" s="29" t="s">
        <v>1588</v>
      </c>
      <c r="AN44" s="29" t="s">
        <v>1590</v>
      </c>
      <c r="AO44" s="18" t="s">
        <v>1592</v>
      </c>
      <c r="AP44" s="29" t="s">
        <v>1593</v>
      </c>
      <c r="AQ44" s="29" t="s">
        <v>1594</v>
      </c>
      <c r="AR44" s="36" t="str">
        <f t="shared" si="0"/>
        <v>KABUPATEN BANJARNEGARA</v>
      </c>
      <c r="AS44" s="36" t="s">
        <v>1597</v>
      </c>
      <c r="AT44" s="36" t="s">
        <v>227</v>
      </c>
      <c r="AU44" s="38"/>
    </row>
    <row r="45" spans="1:47" ht="15.75" customHeight="1" x14ac:dyDescent="0.3">
      <c r="A45" s="19">
        <v>20810</v>
      </c>
      <c r="B45" s="18" t="s">
        <v>56</v>
      </c>
      <c r="C45" s="22" t="s">
        <v>1531</v>
      </c>
      <c r="D45" s="18" t="s">
        <v>58</v>
      </c>
      <c r="E45" s="18" t="s">
        <v>1600</v>
      </c>
      <c r="F45" s="25" t="s">
        <v>1601</v>
      </c>
      <c r="G45" s="18" t="s">
        <v>1513</v>
      </c>
      <c r="H45" s="22">
        <v>35578</v>
      </c>
      <c r="I45" s="18" t="s">
        <v>1604</v>
      </c>
      <c r="J45" s="25" t="s">
        <v>1605</v>
      </c>
      <c r="K45" s="18" t="s">
        <v>1606</v>
      </c>
      <c r="L45" s="18" t="s">
        <v>141</v>
      </c>
      <c r="M45" s="18" t="s">
        <v>72</v>
      </c>
      <c r="N45" s="18" t="s">
        <v>73</v>
      </c>
      <c r="O45" s="18" t="s">
        <v>182</v>
      </c>
      <c r="P45" s="25" t="s">
        <v>184</v>
      </c>
      <c r="Q45" s="25" t="s">
        <v>1607</v>
      </c>
      <c r="R45" s="18" t="s">
        <v>1608</v>
      </c>
      <c r="S45" s="18" t="s">
        <v>676</v>
      </c>
      <c r="T45" s="18" t="s">
        <v>90</v>
      </c>
      <c r="U45" s="18" t="s">
        <v>1576</v>
      </c>
      <c r="V45" s="18" t="s">
        <v>93</v>
      </c>
      <c r="W45" s="25" t="s">
        <v>1609</v>
      </c>
      <c r="X45" s="18" t="s">
        <v>1600</v>
      </c>
      <c r="Y45" s="18" t="s">
        <v>229</v>
      </c>
      <c r="Z45" s="25" t="s">
        <v>1611</v>
      </c>
      <c r="AA45" s="18" t="s">
        <v>1600</v>
      </c>
      <c r="AB45" s="18" t="s">
        <v>1513</v>
      </c>
      <c r="AC45" s="18" t="s">
        <v>1513</v>
      </c>
      <c r="AD45" s="18" t="s">
        <v>105</v>
      </c>
      <c r="AE45" s="18" t="s">
        <v>113</v>
      </c>
      <c r="AF45" s="28"/>
      <c r="AG45" s="29"/>
      <c r="AH45" s="29"/>
      <c r="AI45" s="18">
        <v>25008685551</v>
      </c>
      <c r="AJ45" s="19">
        <v>29440059794</v>
      </c>
      <c r="AK45" s="71" t="s">
        <v>1614</v>
      </c>
      <c r="AL45" s="29" t="s">
        <v>1634</v>
      </c>
      <c r="AM45" s="29" t="s">
        <v>1636</v>
      </c>
      <c r="AN45" s="29" t="s">
        <v>1637</v>
      </c>
      <c r="AO45" s="18" t="s">
        <v>1638</v>
      </c>
      <c r="AP45" s="29" t="s">
        <v>1639</v>
      </c>
      <c r="AQ45" s="29" t="s">
        <v>1640</v>
      </c>
      <c r="AR45" s="36" t="str">
        <f t="shared" si="0"/>
        <v>KABUPATEN BANJARNEGARA</v>
      </c>
      <c r="AS45" s="36" t="s">
        <v>1597</v>
      </c>
      <c r="AT45" s="36" t="s">
        <v>227</v>
      </c>
      <c r="AU45" s="38"/>
    </row>
    <row r="46" spans="1:47" ht="15.75" customHeight="1" x14ac:dyDescent="0.3">
      <c r="A46" s="19">
        <v>20811</v>
      </c>
      <c r="B46" s="18" t="s">
        <v>56</v>
      </c>
      <c r="C46" s="22" t="s">
        <v>1531</v>
      </c>
      <c r="D46" s="18" t="s">
        <v>58</v>
      </c>
      <c r="E46" s="18" t="s">
        <v>456</v>
      </c>
      <c r="F46" s="25" t="s">
        <v>1647</v>
      </c>
      <c r="G46" s="18" t="s">
        <v>420</v>
      </c>
      <c r="H46" s="22">
        <v>33095</v>
      </c>
      <c r="I46" s="18" t="s">
        <v>1650</v>
      </c>
      <c r="J46" s="25" t="s">
        <v>1651</v>
      </c>
      <c r="K46" s="18" t="s">
        <v>1652</v>
      </c>
      <c r="L46" s="18" t="s">
        <v>70</v>
      </c>
      <c r="M46" s="18" t="s">
        <v>72</v>
      </c>
      <c r="N46" s="18" t="s">
        <v>1653</v>
      </c>
      <c r="O46" s="18" t="s">
        <v>182</v>
      </c>
      <c r="P46" s="25" t="s">
        <v>1647</v>
      </c>
      <c r="Q46" s="25" t="s">
        <v>1654</v>
      </c>
      <c r="R46" s="18" t="s">
        <v>1655</v>
      </c>
      <c r="S46" s="18" t="s">
        <v>1656</v>
      </c>
      <c r="T46" s="18" t="s">
        <v>434</v>
      </c>
      <c r="U46" s="18" t="s">
        <v>436</v>
      </c>
      <c r="V46" s="18" t="s">
        <v>106</v>
      </c>
      <c r="W46" s="25">
        <v>0</v>
      </c>
      <c r="X46" s="18">
        <v>0</v>
      </c>
      <c r="Y46" s="18" t="s">
        <v>97</v>
      </c>
      <c r="Z46" s="25" t="s">
        <v>1657</v>
      </c>
      <c r="AA46" s="18" t="s">
        <v>456</v>
      </c>
      <c r="AB46" s="18" t="s">
        <v>1659</v>
      </c>
      <c r="AC46" s="18" t="s">
        <v>420</v>
      </c>
      <c r="AD46" s="18" t="s">
        <v>105</v>
      </c>
      <c r="AE46" s="18" t="s">
        <v>113</v>
      </c>
      <c r="AF46" s="28"/>
      <c r="AG46" s="29"/>
      <c r="AH46" s="29"/>
      <c r="AI46" s="18">
        <v>0</v>
      </c>
      <c r="AJ46" s="19">
        <v>1125243358</v>
      </c>
      <c r="AK46" s="29" t="s">
        <v>1665</v>
      </c>
      <c r="AL46" s="29" t="s">
        <v>1667</v>
      </c>
      <c r="AM46" s="29" t="s">
        <v>1668</v>
      </c>
      <c r="AN46" s="29" t="s">
        <v>1669</v>
      </c>
      <c r="AO46" s="18" t="s">
        <v>1670</v>
      </c>
      <c r="AP46" s="29" t="s">
        <v>1671</v>
      </c>
      <c r="AQ46" s="29" t="s">
        <v>1672</v>
      </c>
      <c r="AR46" s="36" t="str">
        <f t="shared" si="0"/>
        <v>KOTA SAMARINDA</v>
      </c>
      <c r="AS46" s="36"/>
      <c r="AT46" s="36"/>
      <c r="AU46" s="38"/>
    </row>
    <row r="47" spans="1:47" ht="15.75" customHeight="1" x14ac:dyDescent="0.3">
      <c r="A47" s="19">
        <v>20818</v>
      </c>
      <c r="B47" s="18" t="s">
        <v>57</v>
      </c>
      <c r="C47" s="22" t="s">
        <v>1531</v>
      </c>
      <c r="D47" s="18" t="s">
        <v>58</v>
      </c>
      <c r="E47" s="18" t="s">
        <v>1679</v>
      </c>
      <c r="F47" s="25" t="s">
        <v>1680</v>
      </c>
      <c r="G47" s="18" t="s">
        <v>772</v>
      </c>
      <c r="H47" s="22">
        <v>39138</v>
      </c>
      <c r="I47" s="18" t="s">
        <v>1681</v>
      </c>
      <c r="J47" s="25" t="s">
        <v>1683</v>
      </c>
      <c r="K47" s="18" t="s">
        <v>1685</v>
      </c>
      <c r="L47" s="18" t="s">
        <v>234</v>
      </c>
      <c r="M47" s="18" t="s">
        <v>72</v>
      </c>
      <c r="N47" s="18" t="s">
        <v>1238</v>
      </c>
      <c r="O47" s="18" t="s">
        <v>182</v>
      </c>
      <c r="P47" s="25" t="s">
        <v>184</v>
      </c>
      <c r="Q47" s="25" t="s">
        <v>1688</v>
      </c>
      <c r="R47" s="18" t="s">
        <v>1689</v>
      </c>
      <c r="S47" s="18" t="s">
        <v>1690</v>
      </c>
      <c r="T47" s="18" t="s">
        <v>102</v>
      </c>
      <c r="U47" s="18" t="s">
        <v>786</v>
      </c>
      <c r="V47" s="18" t="s">
        <v>93</v>
      </c>
      <c r="W47" s="25">
        <v>0</v>
      </c>
      <c r="X47" s="18">
        <v>0</v>
      </c>
      <c r="Y47" s="18" t="s">
        <v>389</v>
      </c>
      <c r="Z47" s="25" t="s">
        <v>1692</v>
      </c>
      <c r="AA47" s="18" t="s">
        <v>1679</v>
      </c>
      <c r="AB47" s="18" t="s">
        <v>1685</v>
      </c>
      <c r="AC47" s="18" t="s">
        <v>772</v>
      </c>
      <c r="AD47" s="18" t="s">
        <v>105</v>
      </c>
      <c r="AE47" s="18" t="s">
        <v>113</v>
      </c>
      <c r="AF47" s="28"/>
      <c r="AG47" s="29"/>
      <c r="AH47" s="29"/>
      <c r="AI47" s="18">
        <v>0</v>
      </c>
      <c r="AJ47" s="19">
        <v>0</v>
      </c>
      <c r="AK47" s="29" t="s">
        <v>1695</v>
      </c>
      <c r="AL47" s="29" t="s">
        <v>1697</v>
      </c>
      <c r="AM47" s="29" t="s">
        <v>1699</v>
      </c>
      <c r="AN47" s="29" t="s">
        <v>1701</v>
      </c>
      <c r="AO47" s="18" t="s">
        <v>1703</v>
      </c>
      <c r="AP47" s="29" t="s">
        <v>1705</v>
      </c>
      <c r="AQ47" s="29" t="s">
        <v>1706</v>
      </c>
      <c r="AR47" s="36" t="str">
        <f t="shared" si="0"/>
        <v>KABUPATEN CIANJUR</v>
      </c>
      <c r="AS47" s="36" t="s">
        <v>800</v>
      </c>
      <c r="AT47" s="36" t="s">
        <v>59</v>
      </c>
      <c r="AU47" s="38"/>
    </row>
    <row r="48" spans="1:47" ht="15.75" customHeight="1" x14ac:dyDescent="0.3">
      <c r="A48" s="19">
        <v>20819</v>
      </c>
      <c r="B48" s="18" t="s">
        <v>57</v>
      </c>
      <c r="C48" s="22" t="s">
        <v>1531</v>
      </c>
      <c r="D48" s="18" t="s">
        <v>58</v>
      </c>
      <c r="E48" s="18" t="s">
        <v>1712</v>
      </c>
      <c r="F48" s="25" t="s">
        <v>1714</v>
      </c>
      <c r="G48" s="18" t="s">
        <v>63</v>
      </c>
      <c r="H48" s="22">
        <v>34617</v>
      </c>
      <c r="I48" s="18" t="s">
        <v>1716</v>
      </c>
      <c r="J48" s="25" t="s">
        <v>1717</v>
      </c>
      <c r="K48" s="18" t="s">
        <v>1719</v>
      </c>
      <c r="L48" s="18" t="s">
        <v>179</v>
      </c>
      <c r="M48" s="18" t="s">
        <v>72</v>
      </c>
      <c r="N48" s="18" t="s">
        <v>1377</v>
      </c>
      <c r="O48" s="18" t="s">
        <v>182</v>
      </c>
      <c r="P48" s="25" t="s">
        <v>184</v>
      </c>
      <c r="Q48" s="25" t="s">
        <v>1722</v>
      </c>
      <c r="R48" s="18" t="s">
        <v>1723</v>
      </c>
      <c r="S48" s="18" t="s">
        <v>676</v>
      </c>
      <c r="T48" s="18" t="s">
        <v>102</v>
      </c>
      <c r="U48" s="18" t="s">
        <v>103</v>
      </c>
      <c r="V48" s="18" t="s">
        <v>93</v>
      </c>
      <c r="W48" s="25">
        <v>0</v>
      </c>
      <c r="X48" s="18">
        <v>0</v>
      </c>
      <c r="Y48" s="18" t="s">
        <v>389</v>
      </c>
      <c r="Z48" s="25" t="s">
        <v>1725</v>
      </c>
      <c r="AA48" s="18" t="s">
        <v>1712</v>
      </c>
      <c r="AB48" s="18" t="s">
        <v>1719</v>
      </c>
      <c r="AC48" s="18" t="s">
        <v>63</v>
      </c>
      <c r="AD48" s="18" t="s">
        <v>105</v>
      </c>
      <c r="AE48" s="18" t="s">
        <v>113</v>
      </c>
      <c r="AF48" s="28"/>
      <c r="AG48" s="29"/>
      <c r="AH48" s="29"/>
      <c r="AI48" s="18">
        <v>0</v>
      </c>
      <c r="AJ48" s="19">
        <v>0</v>
      </c>
      <c r="AK48" s="29" t="s">
        <v>1728</v>
      </c>
      <c r="AL48" s="29" t="s">
        <v>1729</v>
      </c>
      <c r="AM48" s="29" t="s">
        <v>1731</v>
      </c>
      <c r="AN48" s="29" t="s">
        <v>1733</v>
      </c>
      <c r="AO48" s="18" t="s">
        <v>1735</v>
      </c>
      <c r="AP48" s="29" t="s">
        <v>1737</v>
      </c>
      <c r="AQ48" s="29" t="s">
        <v>1738</v>
      </c>
      <c r="AR48" s="36" t="str">
        <f t="shared" si="0"/>
        <v>KABUPATEN TASIKMALAYA</v>
      </c>
      <c r="AS48" s="36" t="s">
        <v>1291</v>
      </c>
      <c r="AT48" s="36" t="s">
        <v>59</v>
      </c>
      <c r="AU48" s="38"/>
    </row>
    <row r="49" spans="1:47" ht="15.75" customHeight="1" x14ac:dyDescent="0.3">
      <c r="A49" s="19">
        <v>20821</v>
      </c>
      <c r="B49" s="18" t="s">
        <v>56</v>
      </c>
      <c r="C49" s="22" t="s">
        <v>1531</v>
      </c>
      <c r="D49" s="18" t="s">
        <v>58</v>
      </c>
      <c r="E49" s="18" t="s">
        <v>1741</v>
      </c>
      <c r="F49" s="25" t="s">
        <v>1742</v>
      </c>
      <c r="G49" s="18" t="s">
        <v>1744</v>
      </c>
      <c r="H49" s="22">
        <v>32843</v>
      </c>
      <c r="I49" s="18" t="s">
        <v>1750</v>
      </c>
      <c r="J49" s="25" t="s">
        <v>1751</v>
      </c>
      <c r="K49" s="18" t="s">
        <v>1752</v>
      </c>
      <c r="L49" s="18" t="s">
        <v>179</v>
      </c>
      <c r="M49" s="18" t="s">
        <v>72</v>
      </c>
      <c r="N49" s="18" t="s">
        <v>1754</v>
      </c>
      <c r="O49" s="18" t="s">
        <v>74</v>
      </c>
      <c r="P49" s="25" t="s">
        <v>1755</v>
      </c>
      <c r="Q49" s="25" t="s">
        <v>1756</v>
      </c>
      <c r="R49" s="18" t="s">
        <v>1757</v>
      </c>
      <c r="S49" s="18" t="s">
        <v>1758</v>
      </c>
      <c r="T49" s="18" t="s">
        <v>90</v>
      </c>
      <c r="U49" s="18" t="s">
        <v>677</v>
      </c>
      <c r="V49" s="18" t="s">
        <v>93</v>
      </c>
      <c r="W49" s="25">
        <v>0</v>
      </c>
      <c r="X49" s="18">
        <v>0</v>
      </c>
      <c r="Y49" s="18" t="s">
        <v>97</v>
      </c>
      <c r="Z49" s="25" t="s">
        <v>1760</v>
      </c>
      <c r="AA49" s="18" t="s">
        <v>1741</v>
      </c>
      <c r="AB49" s="18" t="s">
        <v>1762</v>
      </c>
      <c r="AC49" s="18" t="s">
        <v>668</v>
      </c>
      <c r="AD49" s="18" t="s">
        <v>105</v>
      </c>
      <c r="AE49" s="18" t="s">
        <v>113</v>
      </c>
      <c r="AF49" s="28"/>
      <c r="AG49" s="29"/>
      <c r="AH49" s="29"/>
      <c r="AI49" s="18">
        <v>0</v>
      </c>
      <c r="AJ49" s="19">
        <v>1194974739</v>
      </c>
      <c r="AK49" s="71" t="s">
        <v>1768</v>
      </c>
      <c r="AL49" s="29" t="s">
        <v>1784</v>
      </c>
      <c r="AM49" s="29" t="s">
        <v>1785</v>
      </c>
      <c r="AN49" s="29" t="s">
        <v>1786</v>
      </c>
      <c r="AO49" s="18" t="s">
        <v>1787</v>
      </c>
      <c r="AP49" s="29" t="s">
        <v>1788</v>
      </c>
      <c r="AQ49" s="29" t="s">
        <v>1790</v>
      </c>
      <c r="AR49" s="36" t="str">
        <f t="shared" si="0"/>
        <v>KABUPATEN MAGELANG</v>
      </c>
      <c r="AS49" s="36" t="s">
        <v>687</v>
      </c>
      <c r="AT49" s="36" t="s">
        <v>227</v>
      </c>
      <c r="AU49" s="38"/>
    </row>
    <row r="50" spans="1:47" ht="15.75" customHeight="1" x14ac:dyDescent="0.3">
      <c r="A50" s="19">
        <v>20822</v>
      </c>
      <c r="B50" s="18" t="s">
        <v>57</v>
      </c>
      <c r="C50" s="22" t="s">
        <v>1531</v>
      </c>
      <c r="D50" s="18" t="s">
        <v>58</v>
      </c>
      <c r="E50" s="18" t="s">
        <v>1796</v>
      </c>
      <c r="F50" s="25" t="s">
        <v>1797</v>
      </c>
      <c r="G50" s="18" t="s">
        <v>692</v>
      </c>
      <c r="H50" s="22">
        <v>38388</v>
      </c>
      <c r="I50" s="18" t="s">
        <v>1799</v>
      </c>
      <c r="J50" s="25" t="s">
        <v>1801</v>
      </c>
      <c r="K50" s="18" t="s">
        <v>1802</v>
      </c>
      <c r="L50" s="18" t="s">
        <v>234</v>
      </c>
      <c r="M50" s="18" t="s">
        <v>72</v>
      </c>
      <c r="N50" s="18" t="s">
        <v>273</v>
      </c>
      <c r="O50" s="18" t="s">
        <v>182</v>
      </c>
      <c r="P50" s="25" t="s">
        <v>184</v>
      </c>
      <c r="Q50" s="25" t="s">
        <v>1804</v>
      </c>
      <c r="R50" s="18" t="s">
        <v>1805</v>
      </c>
      <c r="S50" s="24" t="s">
        <v>1806</v>
      </c>
      <c r="T50" s="18" t="s">
        <v>102</v>
      </c>
      <c r="U50" s="18" t="s">
        <v>1239</v>
      </c>
      <c r="V50" s="18" t="s">
        <v>93</v>
      </c>
      <c r="W50" s="25" t="s">
        <v>1807</v>
      </c>
      <c r="X50" s="18" t="s">
        <v>1796</v>
      </c>
      <c r="Y50" s="18" t="s">
        <v>439</v>
      </c>
      <c r="Z50" s="25" t="s">
        <v>1810</v>
      </c>
      <c r="AA50" s="18" t="s">
        <v>1796</v>
      </c>
      <c r="AB50" s="18" t="s">
        <v>1812</v>
      </c>
      <c r="AC50" s="18" t="s">
        <v>692</v>
      </c>
      <c r="AD50" s="18" t="s">
        <v>105</v>
      </c>
      <c r="AE50" s="18" t="s">
        <v>113</v>
      </c>
      <c r="AF50" s="28"/>
      <c r="AG50" s="29"/>
      <c r="AH50" s="29"/>
      <c r="AI50" s="18">
        <v>0</v>
      </c>
      <c r="AJ50" s="19">
        <v>0</v>
      </c>
      <c r="AK50" s="29" t="s">
        <v>1817</v>
      </c>
      <c r="AL50" s="29" t="s">
        <v>1818</v>
      </c>
      <c r="AM50" s="29" t="s">
        <v>1819</v>
      </c>
      <c r="AN50" s="29" t="s">
        <v>1820</v>
      </c>
      <c r="AO50" s="18" t="s">
        <v>1821</v>
      </c>
      <c r="AP50" s="29" t="s">
        <v>1822</v>
      </c>
      <c r="AQ50" s="29" t="s">
        <v>1824</v>
      </c>
      <c r="AR50" s="36" t="str">
        <f t="shared" si="0"/>
        <v>KOTA BANJAR</v>
      </c>
      <c r="AS50" s="36" t="s">
        <v>1826</v>
      </c>
      <c r="AT50" s="36" t="s">
        <v>59</v>
      </c>
      <c r="AU50" s="38"/>
    </row>
    <row r="51" spans="1:47" ht="15.75" customHeight="1" x14ac:dyDescent="0.3">
      <c r="A51" s="19">
        <v>20922</v>
      </c>
      <c r="B51" s="18" t="s">
        <v>57</v>
      </c>
      <c r="C51" s="22" t="s">
        <v>1531</v>
      </c>
      <c r="D51" s="18" t="s">
        <v>58</v>
      </c>
      <c r="E51" s="18" t="s">
        <v>1830</v>
      </c>
      <c r="F51" s="25" t="s">
        <v>1832</v>
      </c>
      <c r="G51" s="18" t="s">
        <v>225</v>
      </c>
      <c r="H51" s="22">
        <v>34949</v>
      </c>
      <c r="I51" s="18" t="s">
        <v>1834</v>
      </c>
      <c r="J51" s="25" t="s">
        <v>1836</v>
      </c>
      <c r="K51" s="18" t="s">
        <v>1838</v>
      </c>
      <c r="L51" s="18" t="s">
        <v>70</v>
      </c>
      <c r="M51" s="18" t="s">
        <v>72</v>
      </c>
      <c r="N51" s="18" t="s">
        <v>620</v>
      </c>
      <c r="O51" s="18" t="s">
        <v>74</v>
      </c>
      <c r="P51" s="25" t="s">
        <v>1839</v>
      </c>
      <c r="Q51" s="25" t="s">
        <v>1840</v>
      </c>
      <c r="R51" s="18" t="s">
        <v>1841</v>
      </c>
      <c r="S51" s="24" t="s">
        <v>1843</v>
      </c>
      <c r="T51" s="18" t="s">
        <v>102</v>
      </c>
      <c r="U51" s="18" t="s">
        <v>286</v>
      </c>
      <c r="V51" s="18" t="s">
        <v>93</v>
      </c>
      <c r="W51" s="25" t="s">
        <v>1844</v>
      </c>
      <c r="X51" s="18">
        <v>0</v>
      </c>
      <c r="Y51" s="18" t="s">
        <v>97</v>
      </c>
      <c r="Z51" s="25" t="s">
        <v>1845</v>
      </c>
      <c r="AA51" s="18" t="s">
        <v>1830</v>
      </c>
      <c r="AB51" s="18" t="s">
        <v>1838</v>
      </c>
      <c r="AC51" s="18" t="s">
        <v>225</v>
      </c>
      <c r="AD51" s="18" t="s">
        <v>105</v>
      </c>
      <c r="AE51" s="18" t="s">
        <v>113</v>
      </c>
      <c r="AF51" s="28"/>
      <c r="AG51" s="29"/>
      <c r="AH51" s="29"/>
      <c r="AI51" s="18">
        <v>0</v>
      </c>
      <c r="AJ51" s="19">
        <v>0</v>
      </c>
      <c r="AK51" s="29" t="s">
        <v>1850</v>
      </c>
      <c r="AL51" s="29" t="s">
        <v>1852</v>
      </c>
      <c r="AM51" s="29" t="s">
        <v>1854</v>
      </c>
      <c r="AN51" s="29" t="s">
        <v>1855</v>
      </c>
      <c r="AO51" s="18" t="s">
        <v>1856</v>
      </c>
      <c r="AP51" s="29" t="s">
        <v>1857</v>
      </c>
      <c r="AQ51" s="29" t="s">
        <v>1858</v>
      </c>
      <c r="AR51" s="36" t="str">
        <f t="shared" si="0"/>
        <v>KABUPATEN GARUT</v>
      </c>
      <c r="AS51" s="36" t="s">
        <v>302</v>
      </c>
      <c r="AT51" s="36" t="s">
        <v>59</v>
      </c>
      <c r="AU51" s="38"/>
    </row>
    <row r="52" spans="1:47" ht="15.75" customHeight="1" x14ac:dyDescent="0.3">
      <c r="A52" s="19">
        <v>20923</v>
      </c>
      <c r="B52" s="18" t="s">
        <v>56</v>
      </c>
      <c r="C52" s="22" t="s">
        <v>1531</v>
      </c>
      <c r="D52" s="18" t="s">
        <v>58</v>
      </c>
      <c r="E52" s="18" t="s">
        <v>1864</v>
      </c>
      <c r="F52" s="25" t="s">
        <v>1867</v>
      </c>
      <c r="G52" s="18" t="s">
        <v>1642</v>
      </c>
      <c r="H52" s="22">
        <v>39328</v>
      </c>
      <c r="I52" s="18" t="s">
        <v>1869</v>
      </c>
      <c r="J52" s="25" t="s">
        <v>1870</v>
      </c>
      <c r="K52" s="18" t="s">
        <v>1872</v>
      </c>
      <c r="L52" s="18" t="s">
        <v>141</v>
      </c>
      <c r="M52" s="18" t="s">
        <v>72</v>
      </c>
      <c r="N52" s="18" t="s">
        <v>1875</v>
      </c>
      <c r="O52" s="18" t="s">
        <v>74</v>
      </c>
      <c r="P52" s="25" t="s">
        <v>1867</v>
      </c>
      <c r="Q52" s="25" t="s">
        <v>1876</v>
      </c>
      <c r="R52" s="18" t="s">
        <v>1877</v>
      </c>
      <c r="S52" s="24" t="s">
        <v>1878</v>
      </c>
      <c r="T52" s="18" t="s">
        <v>813</v>
      </c>
      <c r="U52" s="18" t="s">
        <v>1132</v>
      </c>
      <c r="V52" s="18" t="s">
        <v>93</v>
      </c>
      <c r="W52" s="25">
        <v>0</v>
      </c>
      <c r="X52" s="18">
        <v>0</v>
      </c>
      <c r="Y52" s="18" t="s">
        <v>439</v>
      </c>
      <c r="Z52" s="25" t="s">
        <v>1880</v>
      </c>
      <c r="AA52" s="18" t="s">
        <v>1864</v>
      </c>
      <c r="AB52" s="18" t="s">
        <v>1122</v>
      </c>
      <c r="AC52" s="18" t="s">
        <v>1122</v>
      </c>
      <c r="AD52" s="18" t="s">
        <v>105</v>
      </c>
      <c r="AE52" s="18" t="s">
        <v>113</v>
      </c>
      <c r="AF52" s="28"/>
      <c r="AG52" s="29"/>
      <c r="AH52" s="29"/>
      <c r="AI52" s="18">
        <v>0</v>
      </c>
      <c r="AJ52" s="19">
        <v>2312767225</v>
      </c>
      <c r="AK52" s="29" t="s">
        <v>1888</v>
      </c>
      <c r="AL52" s="29" t="s">
        <v>1889</v>
      </c>
      <c r="AM52" s="29" t="s">
        <v>1890</v>
      </c>
      <c r="AN52" s="29" t="s">
        <v>1891</v>
      </c>
      <c r="AO52" s="18" t="s">
        <v>1892</v>
      </c>
      <c r="AP52" s="29" t="s">
        <v>1893</v>
      </c>
      <c r="AQ52" s="29" t="s">
        <v>1895</v>
      </c>
      <c r="AR52" s="36" t="str">
        <f t="shared" si="0"/>
        <v>KABUPATEN LAMONGAN</v>
      </c>
      <c r="AS52" s="36" t="s">
        <v>1150</v>
      </c>
      <c r="AT52" s="36" t="s">
        <v>802</v>
      </c>
      <c r="AU52" s="38"/>
    </row>
    <row r="53" spans="1:47" ht="15.75" customHeight="1" x14ac:dyDescent="0.3">
      <c r="A53" s="19">
        <v>20957</v>
      </c>
      <c r="B53" s="18" t="s">
        <v>56</v>
      </c>
      <c r="C53" s="22" t="s">
        <v>1903</v>
      </c>
      <c r="D53" s="22" t="s">
        <v>58</v>
      </c>
      <c r="E53" s="18" t="s">
        <v>1904</v>
      </c>
      <c r="F53" s="25" t="s">
        <v>1906</v>
      </c>
      <c r="G53" s="25" t="s">
        <v>1477</v>
      </c>
      <c r="H53" s="22">
        <v>35991</v>
      </c>
      <c r="I53" s="22" t="s">
        <v>1908</v>
      </c>
      <c r="J53" s="25" t="s">
        <v>1909</v>
      </c>
      <c r="K53" s="25" t="s">
        <v>1910</v>
      </c>
      <c r="L53" s="18" t="s">
        <v>85</v>
      </c>
      <c r="M53" s="18" t="s">
        <v>72</v>
      </c>
      <c r="N53" s="18" t="s">
        <v>1504</v>
      </c>
      <c r="O53" s="18" t="s">
        <v>74</v>
      </c>
      <c r="P53" s="25" t="s">
        <v>1911</v>
      </c>
      <c r="Q53" s="19">
        <v>3302050302051580</v>
      </c>
      <c r="R53" s="25" t="s">
        <v>1913</v>
      </c>
      <c r="S53" s="24" t="s">
        <v>1915</v>
      </c>
      <c r="T53" s="18" t="s">
        <v>90</v>
      </c>
      <c r="U53" s="18" t="s">
        <v>1917</v>
      </c>
      <c r="V53" s="18" t="s">
        <v>93</v>
      </c>
      <c r="W53" s="25">
        <v>0</v>
      </c>
      <c r="X53" s="19">
        <v>0</v>
      </c>
      <c r="Y53" s="18" t="s">
        <v>389</v>
      </c>
      <c r="Z53" s="18">
        <v>901033008105</v>
      </c>
      <c r="AA53" s="25" t="s">
        <v>1921</v>
      </c>
      <c r="AB53" s="18" t="s">
        <v>1445</v>
      </c>
      <c r="AC53" s="18" t="s">
        <v>1477</v>
      </c>
      <c r="AD53" s="18" t="s">
        <v>105</v>
      </c>
      <c r="AE53" s="18" t="s">
        <v>113</v>
      </c>
      <c r="AF53" s="29"/>
      <c r="AG53" s="28"/>
      <c r="AH53" s="29"/>
      <c r="AI53" s="18">
        <v>0</v>
      </c>
      <c r="AJ53" s="18">
        <v>0</v>
      </c>
      <c r="AK53" s="72" t="s">
        <v>1925</v>
      </c>
      <c r="AL53" s="36" t="s">
        <v>1928</v>
      </c>
      <c r="AM53" s="36" t="s">
        <v>1929</v>
      </c>
      <c r="AN53" s="36" t="s">
        <v>1931</v>
      </c>
      <c r="AO53" s="36" t="s">
        <v>1934</v>
      </c>
      <c r="AP53" s="36" t="s">
        <v>1935</v>
      </c>
      <c r="AQ53" s="36" t="s">
        <v>1936</v>
      </c>
      <c r="AR53" s="36" t="str">
        <f t="shared" si="0"/>
        <v>KABUPATEN CILACAP</v>
      </c>
      <c r="AS53" s="36" t="s">
        <v>1938</v>
      </c>
      <c r="AT53" s="36" t="s">
        <v>227</v>
      </c>
      <c r="AU53" s="38"/>
    </row>
    <row r="54" spans="1:47" ht="15.75" customHeight="1" x14ac:dyDescent="0.3">
      <c r="A54" s="19">
        <v>20987</v>
      </c>
      <c r="B54" s="19" t="s">
        <v>56</v>
      </c>
      <c r="C54" s="19" t="s">
        <v>1903</v>
      </c>
      <c r="D54" s="19" t="s">
        <v>58</v>
      </c>
      <c r="E54" s="19" t="s">
        <v>1939</v>
      </c>
      <c r="F54" s="19" t="s">
        <v>1940</v>
      </c>
      <c r="G54" s="19" t="s">
        <v>1942</v>
      </c>
      <c r="H54" s="19">
        <v>34890</v>
      </c>
      <c r="I54" s="19" t="s">
        <v>1944</v>
      </c>
      <c r="J54" s="19" t="s">
        <v>1945</v>
      </c>
      <c r="K54" s="19" t="s">
        <v>1947</v>
      </c>
      <c r="L54" s="19" t="s">
        <v>179</v>
      </c>
      <c r="M54" s="19" t="s">
        <v>72</v>
      </c>
      <c r="N54" s="19" t="s">
        <v>1950</v>
      </c>
      <c r="O54" s="19" t="s">
        <v>182</v>
      </c>
      <c r="P54" s="19" t="s">
        <v>1952</v>
      </c>
      <c r="Q54" s="19" t="s">
        <v>1954</v>
      </c>
      <c r="R54" s="19" t="s">
        <v>1955</v>
      </c>
      <c r="S54" s="19" t="s">
        <v>1956</v>
      </c>
      <c r="T54" s="19" t="s">
        <v>90</v>
      </c>
      <c r="U54" s="19" t="s">
        <v>1917</v>
      </c>
      <c r="V54" s="18" t="s">
        <v>93</v>
      </c>
      <c r="W54" s="19" t="s">
        <v>1957</v>
      </c>
      <c r="X54" s="19" t="s">
        <v>1939</v>
      </c>
      <c r="Y54" s="19" t="s">
        <v>97</v>
      </c>
      <c r="Z54" s="19" t="s">
        <v>1958</v>
      </c>
      <c r="AA54" s="19" t="s">
        <v>1939</v>
      </c>
      <c r="AB54" s="19" t="s">
        <v>1959</v>
      </c>
      <c r="AC54" s="19" t="s">
        <v>1960</v>
      </c>
      <c r="AD54" s="19" t="s">
        <v>105</v>
      </c>
      <c r="AE54" s="19" t="s">
        <v>113</v>
      </c>
      <c r="AF54" s="19"/>
      <c r="AG54" s="19"/>
      <c r="AH54" s="19"/>
      <c r="AI54" s="19">
        <v>0</v>
      </c>
      <c r="AJ54" s="19">
        <v>2197575235</v>
      </c>
      <c r="AK54" s="72" t="s">
        <v>1961</v>
      </c>
      <c r="AL54" s="72" t="s">
        <v>1962</v>
      </c>
      <c r="AM54" s="72" t="s">
        <v>1963</v>
      </c>
      <c r="AN54" s="72" t="s">
        <v>1964</v>
      </c>
      <c r="AO54" s="72" t="s">
        <v>1965</v>
      </c>
      <c r="AP54" s="72" t="s">
        <v>1966</v>
      </c>
      <c r="AQ54" s="72" t="s">
        <v>1968</v>
      </c>
      <c r="AR54" s="72" t="str">
        <f t="shared" si="0"/>
        <v>KABUPATEN CILACAP</v>
      </c>
      <c r="AS54" s="36" t="s">
        <v>1938</v>
      </c>
      <c r="AT54" s="36" t="s">
        <v>227</v>
      </c>
      <c r="AU54" s="38"/>
    </row>
    <row r="55" spans="1:47" ht="13.8" x14ac:dyDescent="0.3">
      <c r="A55" s="19">
        <v>21086</v>
      </c>
      <c r="B55" s="19" t="s">
        <v>56</v>
      </c>
      <c r="C55" s="19" t="s">
        <v>1972</v>
      </c>
      <c r="D55" s="19" t="s">
        <v>58</v>
      </c>
      <c r="E55" s="19" t="s">
        <v>1974</v>
      </c>
      <c r="F55" s="19" t="s">
        <v>1975</v>
      </c>
      <c r="G55" s="19" t="s">
        <v>1976</v>
      </c>
      <c r="H55" s="19">
        <v>32353</v>
      </c>
      <c r="I55" s="19" t="s">
        <v>1978</v>
      </c>
      <c r="J55" s="19">
        <v>82314931216</v>
      </c>
      <c r="K55" s="19" t="s">
        <v>1980</v>
      </c>
      <c r="L55" s="19" t="s">
        <v>179</v>
      </c>
      <c r="M55" s="19" t="s">
        <v>72</v>
      </c>
      <c r="N55" s="19" t="s">
        <v>1981</v>
      </c>
      <c r="O55" s="19" t="s">
        <v>237</v>
      </c>
      <c r="P55" s="19"/>
      <c r="Q55" s="19" t="s">
        <v>1982</v>
      </c>
      <c r="R55" s="19" t="s">
        <v>1983</v>
      </c>
      <c r="S55" s="19" t="s">
        <v>1984</v>
      </c>
      <c r="T55" s="19" t="s">
        <v>90</v>
      </c>
      <c r="U55" s="19" t="s">
        <v>1987</v>
      </c>
      <c r="V55" s="18" t="s">
        <v>93</v>
      </c>
      <c r="W55" s="19"/>
      <c r="X55" s="19"/>
      <c r="Y55" s="19" t="s">
        <v>439</v>
      </c>
      <c r="Z55" s="19">
        <v>587601022944531</v>
      </c>
      <c r="AA55" s="19" t="s">
        <v>1974</v>
      </c>
      <c r="AB55" s="19" t="s">
        <v>1988</v>
      </c>
      <c r="AC55" s="19" t="s">
        <v>1987</v>
      </c>
      <c r="AD55" s="19" t="s">
        <v>105</v>
      </c>
      <c r="AE55" s="19" t="s">
        <v>113</v>
      </c>
      <c r="AF55" s="19" t="s">
        <v>1990</v>
      </c>
      <c r="AG55" s="19" t="s">
        <v>594</v>
      </c>
      <c r="AH55" s="19">
        <v>81252778765</v>
      </c>
      <c r="AI55" s="19"/>
      <c r="AJ55" s="19"/>
      <c r="AK55" s="77" t="s">
        <v>1996</v>
      </c>
      <c r="AL55" s="77" t="s">
        <v>2011</v>
      </c>
      <c r="AM55" s="77" t="s">
        <v>2027</v>
      </c>
      <c r="AN55" s="72"/>
      <c r="AO55" s="72"/>
      <c r="AP55" s="77" t="s">
        <v>2044</v>
      </c>
      <c r="AQ55" s="77" t="s">
        <v>2052</v>
      </c>
      <c r="AR55" s="30" t="s">
        <v>213</v>
      </c>
      <c r="AS55" s="36" t="s">
        <v>2072</v>
      </c>
      <c r="AT55" s="36" t="s">
        <v>227</v>
      </c>
      <c r="AU55" s="38"/>
    </row>
    <row r="56" spans="1:47" ht="13.8" x14ac:dyDescent="0.3">
      <c r="A56" s="19">
        <v>21087</v>
      </c>
      <c r="B56" s="19" t="s">
        <v>56</v>
      </c>
      <c r="C56" s="19" t="s">
        <v>1972</v>
      </c>
      <c r="D56" s="19" t="s">
        <v>58</v>
      </c>
      <c r="E56" s="19" t="s">
        <v>2076</v>
      </c>
      <c r="F56" s="19" t="s">
        <v>2078</v>
      </c>
      <c r="G56" s="19" t="s">
        <v>2079</v>
      </c>
      <c r="H56" s="19">
        <v>31838</v>
      </c>
      <c r="I56" s="19" t="s">
        <v>2081</v>
      </c>
      <c r="J56" s="19">
        <v>8562659339</v>
      </c>
      <c r="K56" s="19" t="s">
        <v>2083</v>
      </c>
      <c r="L56" s="19" t="s">
        <v>141</v>
      </c>
      <c r="M56" s="19" t="s">
        <v>72</v>
      </c>
      <c r="N56" s="19" t="s">
        <v>2085</v>
      </c>
      <c r="O56" s="19" t="s">
        <v>237</v>
      </c>
      <c r="P56" s="19" t="s">
        <v>2078</v>
      </c>
      <c r="Q56" s="19" t="s">
        <v>2086</v>
      </c>
      <c r="R56" s="19" t="s">
        <v>2088</v>
      </c>
      <c r="S56" s="19" t="s">
        <v>2090</v>
      </c>
      <c r="T56" s="19" t="s">
        <v>90</v>
      </c>
      <c r="U56" s="19" t="s">
        <v>2091</v>
      </c>
      <c r="V56" s="18" t="s">
        <v>93</v>
      </c>
      <c r="W56" s="19"/>
      <c r="X56" s="19"/>
      <c r="Y56" s="19" t="s">
        <v>439</v>
      </c>
      <c r="Z56" s="19">
        <v>587701018076536</v>
      </c>
      <c r="AA56" s="19" t="s">
        <v>2076</v>
      </c>
      <c r="AB56" s="19" t="s">
        <v>2092</v>
      </c>
      <c r="AC56" s="19" t="s">
        <v>2091</v>
      </c>
      <c r="AD56" s="19" t="s">
        <v>105</v>
      </c>
      <c r="AE56" s="19" t="s">
        <v>113</v>
      </c>
      <c r="AF56" s="19" t="s">
        <v>2088</v>
      </c>
      <c r="AG56" s="19" t="s">
        <v>249</v>
      </c>
      <c r="AH56" s="19">
        <v>85640385710</v>
      </c>
      <c r="AI56" s="19"/>
      <c r="AJ56" s="19">
        <v>1520726073</v>
      </c>
      <c r="AK56" s="77" t="s">
        <v>2095</v>
      </c>
      <c r="AL56" s="77" t="s">
        <v>2104</v>
      </c>
      <c r="AM56" s="77" t="s">
        <v>2114</v>
      </c>
      <c r="AN56" s="77" t="s">
        <v>2122</v>
      </c>
      <c r="AO56" s="77" t="s">
        <v>2134</v>
      </c>
      <c r="AP56" s="77" t="s">
        <v>2148</v>
      </c>
      <c r="AQ56" s="77" t="s">
        <v>2162</v>
      </c>
      <c r="AR56" s="30" t="s">
        <v>213</v>
      </c>
      <c r="AS56" s="36" t="s">
        <v>2072</v>
      </c>
      <c r="AT56" s="36" t="s">
        <v>227</v>
      </c>
      <c r="AU56" s="38"/>
    </row>
    <row r="57" spans="1:47" ht="15.75" customHeight="1" x14ac:dyDescent="0.3">
      <c r="A57" s="19">
        <v>20422</v>
      </c>
      <c r="B57" s="18" t="s">
        <v>57</v>
      </c>
      <c r="C57" s="22">
        <v>46227</v>
      </c>
      <c r="D57" s="18" t="s">
        <v>58</v>
      </c>
      <c r="E57" s="18" t="s">
        <v>2101</v>
      </c>
      <c r="F57" s="25" t="s">
        <v>2102</v>
      </c>
      <c r="G57" s="18" t="s">
        <v>2103</v>
      </c>
      <c r="H57" s="22">
        <v>30571</v>
      </c>
      <c r="I57" s="18" t="s">
        <v>2105</v>
      </c>
      <c r="J57" s="25" t="s">
        <v>2106</v>
      </c>
      <c r="K57" s="18" t="s">
        <v>2107</v>
      </c>
      <c r="L57" s="18" t="s">
        <v>141</v>
      </c>
      <c r="M57" s="18" t="s">
        <v>72</v>
      </c>
      <c r="N57" s="18" t="s">
        <v>235</v>
      </c>
      <c r="O57" s="18" t="s">
        <v>74</v>
      </c>
      <c r="P57" s="25" t="s">
        <v>1506</v>
      </c>
      <c r="Q57" s="25" t="s">
        <v>2108</v>
      </c>
      <c r="R57" s="18" t="s">
        <v>2109</v>
      </c>
      <c r="S57" s="18" t="s">
        <v>2110</v>
      </c>
      <c r="T57" s="18" t="s">
        <v>2111</v>
      </c>
      <c r="U57" s="18" t="s">
        <v>2112</v>
      </c>
      <c r="V57" s="18" t="s">
        <v>106</v>
      </c>
      <c r="W57" s="25">
        <v>0</v>
      </c>
      <c r="X57" s="18">
        <v>0</v>
      </c>
      <c r="Y57" s="18" t="s">
        <v>97</v>
      </c>
      <c r="Z57" s="25">
        <v>8375228951</v>
      </c>
      <c r="AA57" s="18" t="s">
        <v>2101</v>
      </c>
      <c r="AB57" s="18" t="s">
        <v>2113</v>
      </c>
      <c r="AC57" s="18" t="s">
        <v>2103</v>
      </c>
      <c r="AD57" s="18" t="s">
        <v>105</v>
      </c>
      <c r="AE57" s="19" t="s">
        <v>113</v>
      </c>
      <c r="AF57" s="68"/>
      <c r="AG57" s="69"/>
      <c r="AH57" s="78"/>
      <c r="AI57" s="18">
        <v>0</v>
      </c>
      <c r="AJ57" s="19">
        <v>0</v>
      </c>
      <c r="AK57" s="36" t="s">
        <v>2115</v>
      </c>
      <c r="AL57" s="36" t="s">
        <v>2116</v>
      </c>
      <c r="AM57" s="36" t="s">
        <v>2117</v>
      </c>
      <c r="AN57" s="36" t="s">
        <v>2118</v>
      </c>
      <c r="AO57" s="36" t="s">
        <v>2119</v>
      </c>
      <c r="AP57" s="36" t="s">
        <v>2120</v>
      </c>
      <c r="AQ57" s="36" t="s">
        <v>2121</v>
      </c>
      <c r="AR57" s="78"/>
      <c r="AS57" s="18"/>
      <c r="AT57" s="36"/>
      <c r="AU57" s="79"/>
    </row>
    <row r="58" spans="1:47" ht="15.75" customHeight="1" x14ac:dyDescent="0.3">
      <c r="A58" s="19">
        <v>20423</v>
      </c>
      <c r="B58" s="18" t="s">
        <v>57</v>
      </c>
      <c r="C58" s="22">
        <v>46227</v>
      </c>
      <c r="D58" s="18" t="s">
        <v>58</v>
      </c>
      <c r="E58" s="18" t="s">
        <v>2123</v>
      </c>
      <c r="F58" s="25" t="s">
        <v>2124</v>
      </c>
      <c r="G58" s="18" t="s">
        <v>2125</v>
      </c>
      <c r="H58" s="22">
        <v>32843</v>
      </c>
      <c r="I58" s="18" t="s">
        <v>2126</v>
      </c>
      <c r="J58" s="25" t="s">
        <v>2127</v>
      </c>
      <c r="K58" s="18" t="s">
        <v>2128</v>
      </c>
      <c r="L58" s="18" t="s">
        <v>179</v>
      </c>
      <c r="M58" s="18" t="s">
        <v>72</v>
      </c>
      <c r="N58" s="18" t="s">
        <v>2129</v>
      </c>
      <c r="O58" s="18" t="s">
        <v>74</v>
      </c>
      <c r="P58" s="25" t="s">
        <v>2130</v>
      </c>
      <c r="Q58" s="25" t="s">
        <v>2131</v>
      </c>
      <c r="R58" s="18" t="s">
        <v>2132</v>
      </c>
      <c r="S58" s="24" t="s">
        <v>2133</v>
      </c>
      <c r="T58" s="18" t="s">
        <v>2111</v>
      </c>
      <c r="U58" s="18" t="s">
        <v>2112</v>
      </c>
      <c r="V58" s="18" t="s">
        <v>93</v>
      </c>
      <c r="W58" s="25">
        <v>0</v>
      </c>
      <c r="X58" s="18">
        <v>0</v>
      </c>
      <c r="Y58" s="18" t="s">
        <v>439</v>
      </c>
      <c r="Z58" s="19">
        <v>531101030105539</v>
      </c>
      <c r="AA58" s="18" t="s">
        <v>2123</v>
      </c>
      <c r="AB58" s="18" t="s">
        <v>2125</v>
      </c>
      <c r="AC58" s="18" t="s">
        <v>2112</v>
      </c>
      <c r="AD58" s="18" t="s">
        <v>105</v>
      </c>
      <c r="AE58" s="19" t="s">
        <v>113</v>
      </c>
      <c r="AF58" s="68"/>
      <c r="AG58" s="69"/>
      <c r="AH58" s="78"/>
      <c r="AI58" s="18">
        <v>0</v>
      </c>
      <c r="AJ58" s="19">
        <v>0</v>
      </c>
      <c r="AK58" s="36" t="s">
        <v>2135</v>
      </c>
      <c r="AL58" s="36" t="s">
        <v>2136</v>
      </c>
      <c r="AM58" s="36" t="s">
        <v>2137</v>
      </c>
      <c r="AN58" s="36" t="s">
        <v>2138</v>
      </c>
      <c r="AO58" s="36" t="s">
        <v>2139</v>
      </c>
      <c r="AP58" s="36" t="s">
        <v>2140</v>
      </c>
      <c r="AQ58" s="36" t="s">
        <v>2141</v>
      </c>
      <c r="AR58" s="18"/>
      <c r="AS58" s="36" t="s">
        <v>2237</v>
      </c>
      <c r="AT58" s="36" t="s">
        <v>2073</v>
      </c>
      <c r="AU58" s="79"/>
    </row>
    <row r="59" spans="1:47" ht="13.8" x14ac:dyDescent="0.3">
      <c r="A59" s="19">
        <v>20424</v>
      </c>
      <c r="B59" s="18" t="s">
        <v>57</v>
      </c>
      <c r="C59" s="22">
        <v>46227</v>
      </c>
      <c r="D59" s="18" t="s">
        <v>58</v>
      </c>
      <c r="E59" s="18" t="s">
        <v>2143</v>
      </c>
      <c r="F59" s="25" t="s">
        <v>2144</v>
      </c>
      <c r="G59" s="18" t="s">
        <v>2103</v>
      </c>
      <c r="H59" s="22">
        <v>37342</v>
      </c>
      <c r="I59" s="18" t="s">
        <v>2145</v>
      </c>
      <c r="J59" s="25" t="s">
        <v>2146</v>
      </c>
      <c r="K59" s="18" t="s">
        <v>2147</v>
      </c>
      <c r="L59" s="18" t="s">
        <v>234</v>
      </c>
      <c r="M59" s="18" t="s">
        <v>72</v>
      </c>
      <c r="N59" s="18" t="s">
        <v>955</v>
      </c>
      <c r="O59" s="18" t="s">
        <v>92</v>
      </c>
      <c r="P59" s="25" t="s">
        <v>2149</v>
      </c>
      <c r="Q59" s="25" t="s">
        <v>2150</v>
      </c>
      <c r="R59" s="18" t="s">
        <v>2151</v>
      </c>
      <c r="S59" s="18" t="s">
        <v>2152</v>
      </c>
      <c r="T59" s="18" t="s">
        <v>2111</v>
      </c>
      <c r="U59" s="18" t="s">
        <v>2112</v>
      </c>
      <c r="V59" s="18" t="s">
        <v>93</v>
      </c>
      <c r="W59" s="25">
        <v>0</v>
      </c>
      <c r="X59" s="18">
        <v>0</v>
      </c>
      <c r="Y59" s="18" t="s">
        <v>389</v>
      </c>
      <c r="Z59" s="19">
        <v>901790538569</v>
      </c>
      <c r="AA59" s="18" t="s">
        <v>2143</v>
      </c>
      <c r="AB59" s="18" t="s">
        <v>2147</v>
      </c>
      <c r="AC59" s="18" t="s">
        <v>2111</v>
      </c>
      <c r="AD59" s="18" t="s">
        <v>105</v>
      </c>
      <c r="AE59" s="19" t="s">
        <v>113</v>
      </c>
      <c r="AF59" s="68"/>
      <c r="AG59" s="69"/>
      <c r="AH59" s="78"/>
      <c r="AI59" s="18">
        <v>0</v>
      </c>
      <c r="AJ59" s="19">
        <v>0</v>
      </c>
      <c r="AK59" s="36" t="s">
        <v>2153</v>
      </c>
      <c r="AL59" s="36" t="s">
        <v>2154</v>
      </c>
      <c r="AM59" s="36" t="s">
        <v>2155</v>
      </c>
      <c r="AN59" s="36" t="s">
        <v>2156</v>
      </c>
      <c r="AO59" s="36" t="s">
        <v>2157</v>
      </c>
      <c r="AP59" s="36" t="s">
        <v>2158</v>
      </c>
      <c r="AQ59" s="36" t="s">
        <v>2159</v>
      </c>
      <c r="AR59" s="18"/>
      <c r="AS59" s="36" t="s">
        <v>2254</v>
      </c>
      <c r="AT59" s="36" t="s">
        <v>2073</v>
      </c>
      <c r="AU59" s="79"/>
    </row>
    <row r="60" spans="1:47" ht="13.8" x14ac:dyDescent="0.3">
      <c r="A60" s="19">
        <v>20425</v>
      </c>
      <c r="B60" s="18" t="s">
        <v>57</v>
      </c>
      <c r="C60" s="22">
        <v>46227</v>
      </c>
      <c r="D60" s="18" t="s">
        <v>58</v>
      </c>
      <c r="E60" s="18" t="s">
        <v>2161</v>
      </c>
      <c r="F60" s="25" t="s">
        <v>2163</v>
      </c>
      <c r="G60" s="18" t="s">
        <v>2103</v>
      </c>
      <c r="H60" s="22">
        <v>34269</v>
      </c>
      <c r="I60" s="18" t="s">
        <v>2164</v>
      </c>
      <c r="J60" s="25" t="s">
        <v>2165</v>
      </c>
      <c r="K60" s="18" t="s">
        <v>2166</v>
      </c>
      <c r="L60" s="18" t="s">
        <v>141</v>
      </c>
      <c r="M60" s="18" t="s">
        <v>72</v>
      </c>
      <c r="N60" s="18" t="s">
        <v>2167</v>
      </c>
      <c r="O60" s="18" t="s">
        <v>182</v>
      </c>
      <c r="P60" s="25" t="s">
        <v>184</v>
      </c>
      <c r="Q60" s="25" t="s">
        <v>2168</v>
      </c>
      <c r="R60" s="18" t="s">
        <v>2151</v>
      </c>
      <c r="S60" s="18" t="s">
        <v>2169</v>
      </c>
      <c r="T60" s="18" t="s">
        <v>2111</v>
      </c>
      <c r="U60" s="18" t="s">
        <v>2112</v>
      </c>
      <c r="V60" s="18" t="s">
        <v>93</v>
      </c>
      <c r="W60" s="25">
        <v>0</v>
      </c>
      <c r="X60" s="18">
        <v>0</v>
      </c>
      <c r="Y60" s="18" t="s">
        <v>97</v>
      </c>
      <c r="Z60" s="25">
        <v>8430611721</v>
      </c>
      <c r="AA60" s="18" t="s">
        <v>2161</v>
      </c>
      <c r="AB60" s="18" t="s">
        <v>2166</v>
      </c>
      <c r="AC60" s="18" t="s">
        <v>2103</v>
      </c>
      <c r="AD60" s="18" t="s">
        <v>105</v>
      </c>
      <c r="AE60" s="19" t="s">
        <v>113</v>
      </c>
      <c r="AF60" s="68"/>
      <c r="AG60" s="69"/>
      <c r="AH60" s="78"/>
      <c r="AI60" s="18">
        <v>0</v>
      </c>
      <c r="AJ60" s="19">
        <v>0</v>
      </c>
      <c r="AK60" s="36" t="s">
        <v>2170</v>
      </c>
      <c r="AL60" s="36" t="s">
        <v>2171</v>
      </c>
      <c r="AM60" s="36" t="s">
        <v>2172</v>
      </c>
      <c r="AN60" s="36" t="s">
        <v>2173</v>
      </c>
      <c r="AO60" s="36" t="s">
        <v>2174</v>
      </c>
      <c r="AP60" s="36" t="s">
        <v>2175</v>
      </c>
      <c r="AQ60" s="36" t="s">
        <v>2176</v>
      </c>
      <c r="AR60" s="18"/>
      <c r="AS60" s="36" t="s">
        <v>2254</v>
      </c>
      <c r="AT60" s="36" t="s">
        <v>2073</v>
      </c>
      <c r="AU60" s="79"/>
    </row>
    <row r="61" spans="1:47" ht="13.8" x14ac:dyDescent="0.3">
      <c r="A61" s="19">
        <v>20426</v>
      </c>
      <c r="B61" s="18" t="s">
        <v>57</v>
      </c>
      <c r="C61" s="22">
        <v>46227</v>
      </c>
      <c r="D61" s="18" t="s">
        <v>58</v>
      </c>
      <c r="E61" s="18" t="s">
        <v>2177</v>
      </c>
      <c r="F61" s="25" t="s">
        <v>2178</v>
      </c>
      <c r="G61" s="18" t="s">
        <v>2179</v>
      </c>
      <c r="H61" s="22">
        <v>36838</v>
      </c>
      <c r="I61" s="18" t="s">
        <v>2180</v>
      </c>
      <c r="J61" s="25" t="s">
        <v>2181</v>
      </c>
      <c r="K61" s="18" t="s">
        <v>2182</v>
      </c>
      <c r="L61" s="18" t="s">
        <v>85</v>
      </c>
      <c r="M61" s="18" t="s">
        <v>72</v>
      </c>
      <c r="N61" s="18" t="s">
        <v>2183</v>
      </c>
      <c r="O61" s="18" t="s">
        <v>182</v>
      </c>
      <c r="P61" s="25" t="s">
        <v>184</v>
      </c>
      <c r="Q61" s="25" t="s">
        <v>2184</v>
      </c>
      <c r="R61" s="18" t="s">
        <v>2177</v>
      </c>
      <c r="S61" s="18" t="s">
        <v>2185</v>
      </c>
      <c r="T61" s="18" t="s">
        <v>2111</v>
      </c>
      <c r="U61" s="18" t="s">
        <v>2112</v>
      </c>
      <c r="V61" s="18" t="s">
        <v>93</v>
      </c>
      <c r="W61" s="25">
        <v>0</v>
      </c>
      <c r="X61" s="18">
        <v>0</v>
      </c>
      <c r="Y61" s="18" t="s">
        <v>229</v>
      </c>
      <c r="Z61" s="19">
        <v>1060018343437</v>
      </c>
      <c r="AA61" s="18" t="s">
        <v>2177</v>
      </c>
      <c r="AB61" s="18" t="s">
        <v>2186</v>
      </c>
      <c r="AC61" s="18" t="s">
        <v>2187</v>
      </c>
      <c r="AD61" s="18" t="s">
        <v>105</v>
      </c>
      <c r="AE61" s="19" t="s">
        <v>113</v>
      </c>
      <c r="AF61" s="68"/>
      <c r="AG61" s="69"/>
      <c r="AH61" s="78"/>
      <c r="AI61" s="18">
        <v>0</v>
      </c>
      <c r="AJ61" s="19">
        <v>0</v>
      </c>
      <c r="AK61" s="36" t="s">
        <v>2188</v>
      </c>
      <c r="AL61" s="36" t="s">
        <v>2189</v>
      </c>
      <c r="AM61" s="36" t="s">
        <v>2190</v>
      </c>
      <c r="AN61" s="36" t="s">
        <v>2191</v>
      </c>
      <c r="AO61" s="36" t="s">
        <v>2192</v>
      </c>
      <c r="AP61" s="36" t="s">
        <v>2193</v>
      </c>
      <c r="AQ61" s="36" t="s">
        <v>2194</v>
      </c>
      <c r="AR61" s="18"/>
      <c r="AS61" s="36" t="s">
        <v>2444</v>
      </c>
      <c r="AT61" s="36" t="s">
        <v>2073</v>
      </c>
      <c r="AU61" s="79"/>
    </row>
    <row r="62" spans="1:47" ht="13.8" x14ac:dyDescent="0.3">
      <c r="A62" s="19">
        <v>20431</v>
      </c>
      <c r="B62" s="18" t="s">
        <v>57</v>
      </c>
      <c r="C62" s="22">
        <v>46227</v>
      </c>
      <c r="D62" s="18" t="s">
        <v>58</v>
      </c>
      <c r="E62" s="18" t="s">
        <v>2196</v>
      </c>
      <c r="F62" s="25" t="s">
        <v>2197</v>
      </c>
      <c r="G62" s="18" t="s">
        <v>2103</v>
      </c>
      <c r="H62" s="22">
        <v>34629</v>
      </c>
      <c r="I62" s="18" t="s">
        <v>2198</v>
      </c>
      <c r="J62" s="25" t="s">
        <v>2199</v>
      </c>
      <c r="K62" s="18" t="s">
        <v>2200</v>
      </c>
      <c r="L62" s="18" t="s">
        <v>234</v>
      </c>
      <c r="M62" s="18" t="s">
        <v>72</v>
      </c>
      <c r="N62" s="18" t="s">
        <v>2201</v>
      </c>
      <c r="O62" s="18" t="s">
        <v>74</v>
      </c>
      <c r="P62" s="25" t="s">
        <v>184</v>
      </c>
      <c r="Q62" s="25" t="s">
        <v>2202</v>
      </c>
      <c r="R62" s="18" t="s">
        <v>2203</v>
      </c>
      <c r="S62" s="18" t="s">
        <v>2204</v>
      </c>
      <c r="T62" s="18" t="s">
        <v>2111</v>
      </c>
      <c r="U62" s="18" t="s">
        <v>2112</v>
      </c>
      <c r="V62" s="18" t="s">
        <v>93</v>
      </c>
      <c r="W62" s="25">
        <v>0</v>
      </c>
      <c r="X62" s="18">
        <v>0</v>
      </c>
      <c r="Y62" s="18" t="s">
        <v>229</v>
      </c>
      <c r="Z62" s="25" t="s">
        <v>2449</v>
      </c>
      <c r="AA62" s="18" t="s">
        <v>2196</v>
      </c>
      <c r="AB62" s="18" t="s">
        <v>2205</v>
      </c>
      <c r="AC62" s="18" t="s">
        <v>2103</v>
      </c>
      <c r="AD62" s="18" t="s">
        <v>991</v>
      </c>
      <c r="AE62" s="19" t="s">
        <v>113</v>
      </c>
      <c r="AF62" s="68"/>
      <c r="AG62" s="69"/>
      <c r="AH62" s="78"/>
      <c r="AI62" s="18">
        <v>0</v>
      </c>
      <c r="AJ62" s="19">
        <v>0</v>
      </c>
      <c r="AK62" s="81" t="s">
        <v>2206</v>
      </c>
      <c r="AL62" s="36" t="s">
        <v>2207</v>
      </c>
      <c r="AM62" s="36" t="s">
        <v>2208</v>
      </c>
      <c r="AN62" s="36" t="s">
        <v>2209</v>
      </c>
      <c r="AO62" s="36" t="s">
        <v>2210</v>
      </c>
      <c r="AP62" s="36" t="s">
        <v>2211</v>
      </c>
      <c r="AQ62" s="36" t="s">
        <v>2212</v>
      </c>
      <c r="AR62" s="18"/>
      <c r="AS62" s="36" t="s">
        <v>2237</v>
      </c>
      <c r="AT62" s="36" t="s">
        <v>2073</v>
      </c>
      <c r="AU62" s="79"/>
    </row>
    <row r="63" spans="1:47" ht="13.8" x14ac:dyDescent="0.3">
      <c r="A63" s="19">
        <v>20434</v>
      </c>
      <c r="B63" s="18" t="s">
        <v>57</v>
      </c>
      <c r="C63" s="22">
        <v>46227</v>
      </c>
      <c r="D63" s="18" t="s">
        <v>58</v>
      </c>
      <c r="E63" s="18" t="s">
        <v>2250</v>
      </c>
      <c r="F63" s="18" t="s">
        <v>2251</v>
      </c>
      <c r="G63" s="18" t="s">
        <v>2103</v>
      </c>
      <c r="H63" s="18">
        <v>32458</v>
      </c>
      <c r="I63" s="18" t="s">
        <v>2252</v>
      </c>
      <c r="J63" s="18" t="s">
        <v>2253</v>
      </c>
      <c r="K63" s="18" t="s">
        <v>2255</v>
      </c>
      <c r="L63" s="18" t="s">
        <v>179</v>
      </c>
      <c r="M63" s="18" t="s">
        <v>87</v>
      </c>
      <c r="N63" s="18">
        <v>158</v>
      </c>
      <c r="O63" s="18" t="s">
        <v>74</v>
      </c>
      <c r="P63" s="18" t="s">
        <v>184</v>
      </c>
      <c r="Q63" s="25" t="s">
        <v>2256</v>
      </c>
      <c r="R63" s="25" t="s">
        <v>2257</v>
      </c>
      <c r="S63" s="25" t="s">
        <v>676</v>
      </c>
      <c r="T63" s="25" t="s">
        <v>2111</v>
      </c>
      <c r="U63" s="25" t="s">
        <v>2112</v>
      </c>
      <c r="V63" s="25" t="s">
        <v>93</v>
      </c>
      <c r="W63" s="25" t="s">
        <v>2258</v>
      </c>
      <c r="X63" s="25">
        <v>0</v>
      </c>
      <c r="Y63" s="25" t="s">
        <v>229</v>
      </c>
      <c r="Z63" s="25" t="s">
        <v>2450</v>
      </c>
      <c r="AA63" s="25" t="s">
        <v>2250</v>
      </c>
      <c r="AB63" s="25" t="s">
        <v>2259</v>
      </c>
      <c r="AC63" s="25" t="s">
        <v>2103</v>
      </c>
      <c r="AD63" s="25" t="s">
        <v>105</v>
      </c>
      <c r="AE63" s="25" t="s">
        <v>113</v>
      </c>
      <c r="AF63" s="25"/>
      <c r="AG63" s="25"/>
      <c r="AH63" s="25"/>
      <c r="AI63" s="25">
        <v>0</v>
      </c>
      <c r="AJ63" s="25">
        <v>0</v>
      </c>
      <c r="AK63" s="82" t="s">
        <v>2260</v>
      </c>
      <c r="AL63" s="82" t="s">
        <v>2261</v>
      </c>
      <c r="AM63" s="82" t="s">
        <v>2262</v>
      </c>
      <c r="AN63" s="82" t="s">
        <v>2263</v>
      </c>
      <c r="AO63" s="82" t="s">
        <v>2264</v>
      </c>
      <c r="AP63" s="82" t="s">
        <v>2265</v>
      </c>
      <c r="AQ63" s="82" t="s">
        <v>2266</v>
      </c>
      <c r="AR63" s="25"/>
      <c r="AS63" s="36" t="s">
        <v>2444</v>
      </c>
      <c r="AT63" s="36" t="s">
        <v>2073</v>
      </c>
      <c r="AU63" s="79"/>
    </row>
    <row r="64" spans="1:47" ht="13.8" x14ac:dyDescent="0.3">
      <c r="A64" s="16"/>
      <c r="B64" s="18" t="s">
        <v>57</v>
      </c>
      <c r="C64" s="22">
        <v>46269</v>
      </c>
      <c r="D64" s="18" t="s">
        <v>58</v>
      </c>
      <c r="E64" s="18" t="s">
        <v>2327</v>
      </c>
      <c r="F64" s="18" t="s">
        <v>2329</v>
      </c>
      <c r="G64" s="18" t="s">
        <v>2103</v>
      </c>
      <c r="H64" s="18" t="s">
        <v>2331</v>
      </c>
      <c r="I64" s="18" t="s">
        <v>2332</v>
      </c>
      <c r="J64" s="25" t="s">
        <v>2333</v>
      </c>
      <c r="K64" s="18" t="s">
        <v>2337</v>
      </c>
      <c r="L64" s="18" t="s">
        <v>234</v>
      </c>
      <c r="M64" s="18" t="s">
        <v>72</v>
      </c>
      <c r="N64" s="18" t="s">
        <v>2338</v>
      </c>
      <c r="O64" s="18" t="s">
        <v>237</v>
      </c>
      <c r="P64" s="18"/>
      <c r="Q64" s="25" t="s">
        <v>2340</v>
      </c>
      <c r="R64" s="25" t="s">
        <v>2341</v>
      </c>
      <c r="S64" s="25" t="s">
        <v>2343</v>
      </c>
      <c r="T64" s="25" t="s">
        <v>2111</v>
      </c>
      <c r="U64" s="25" t="s">
        <v>2103</v>
      </c>
      <c r="V64" s="25" t="s">
        <v>93</v>
      </c>
      <c r="W64" s="25"/>
      <c r="X64" s="25"/>
      <c r="Y64" s="25" t="s">
        <v>439</v>
      </c>
      <c r="Z64" s="25" t="s">
        <v>2451</v>
      </c>
      <c r="AA64" s="25" t="s">
        <v>2327</v>
      </c>
      <c r="AB64" s="25" t="s">
        <v>2344</v>
      </c>
      <c r="AC64" s="25" t="s">
        <v>2103</v>
      </c>
      <c r="AD64" s="25" t="s">
        <v>105</v>
      </c>
      <c r="AE64" s="25" t="s">
        <v>113</v>
      </c>
      <c r="AF64" s="25" t="s">
        <v>2327</v>
      </c>
      <c r="AG64" s="25" t="s">
        <v>396</v>
      </c>
      <c r="AH64" s="25">
        <v>83899740470</v>
      </c>
      <c r="AI64" s="25"/>
      <c r="AJ64" s="25">
        <v>2147723932</v>
      </c>
      <c r="AK64" s="83" t="s">
        <v>2351</v>
      </c>
      <c r="AL64" s="83" t="s">
        <v>2363</v>
      </c>
      <c r="AM64" s="83" t="s">
        <v>2369</v>
      </c>
      <c r="AN64" s="83" t="s">
        <v>2370</v>
      </c>
      <c r="AO64" s="83" t="s">
        <v>2371</v>
      </c>
      <c r="AP64" s="83" t="s">
        <v>2372</v>
      </c>
      <c r="AQ64" s="83" t="s">
        <v>2373</v>
      </c>
      <c r="AR64" s="25"/>
      <c r="AS64" s="36" t="s">
        <v>2445</v>
      </c>
      <c r="AT64" s="36" t="s">
        <v>2073</v>
      </c>
    </row>
    <row r="65" spans="1:46" ht="13.8" x14ac:dyDescent="0.3">
      <c r="A65" s="16"/>
      <c r="B65" s="18" t="s">
        <v>57</v>
      </c>
      <c r="C65" s="22">
        <v>46269</v>
      </c>
      <c r="D65" s="18" t="s">
        <v>58</v>
      </c>
      <c r="E65" s="18" t="s">
        <v>2374</v>
      </c>
      <c r="F65" s="85" t="s">
        <v>2375</v>
      </c>
      <c r="G65" s="18" t="s">
        <v>2103</v>
      </c>
      <c r="H65" s="18">
        <v>33206</v>
      </c>
      <c r="I65" s="18" t="s">
        <v>2376</v>
      </c>
      <c r="J65" s="25" t="s">
        <v>2377</v>
      </c>
      <c r="K65" s="18" t="s">
        <v>2378</v>
      </c>
      <c r="L65" s="18" t="s">
        <v>2379</v>
      </c>
      <c r="M65" s="18" t="s">
        <v>72</v>
      </c>
      <c r="N65" s="18" t="s">
        <v>2380</v>
      </c>
      <c r="O65" s="18" t="s">
        <v>237</v>
      </c>
      <c r="P65" s="18" t="s">
        <v>2381</v>
      </c>
      <c r="Q65" s="18" t="s">
        <v>2382</v>
      </c>
      <c r="R65" s="18" t="s">
        <v>2383</v>
      </c>
      <c r="S65" s="18" t="s">
        <v>2384</v>
      </c>
      <c r="T65" s="18" t="s">
        <v>2111</v>
      </c>
      <c r="U65" s="18" t="s">
        <v>2103</v>
      </c>
      <c r="V65" s="25" t="s">
        <v>93</v>
      </c>
      <c r="W65" s="18" t="s">
        <v>2381</v>
      </c>
      <c r="X65" s="18"/>
      <c r="Y65" s="18" t="s">
        <v>97</v>
      </c>
      <c r="Z65" s="25" t="s">
        <v>2452</v>
      </c>
      <c r="AA65" s="18" t="s">
        <v>2374</v>
      </c>
      <c r="AB65" s="18" t="s">
        <v>2378</v>
      </c>
      <c r="AC65" s="18" t="s">
        <v>2112</v>
      </c>
      <c r="AD65" s="18" t="s">
        <v>105</v>
      </c>
      <c r="AE65" s="25" t="s">
        <v>113</v>
      </c>
      <c r="AF65" s="18" t="s">
        <v>2385</v>
      </c>
      <c r="AG65" s="18" t="s">
        <v>2386</v>
      </c>
      <c r="AH65" s="18">
        <v>82162235723</v>
      </c>
      <c r="AI65" s="18"/>
      <c r="AJ65" s="18"/>
      <c r="AK65" s="86" t="s">
        <v>2387</v>
      </c>
      <c r="AL65" s="86" t="s">
        <v>2388</v>
      </c>
      <c r="AM65" s="86" t="s">
        <v>2389</v>
      </c>
      <c r="AN65" s="86" t="s">
        <v>2390</v>
      </c>
      <c r="AO65" s="86" t="s">
        <v>2391</v>
      </c>
      <c r="AP65" s="86" t="s">
        <v>2392</v>
      </c>
      <c r="AQ65" s="86" t="s">
        <v>2393</v>
      </c>
      <c r="AR65" s="18"/>
      <c r="AS65" s="36" t="s">
        <v>2445</v>
      </c>
      <c r="AT65" s="36" t="s">
        <v>2073</v>
      </c>
    </row>
    <row r="66" spans="1:46" ht="13.8" x14ac:dyDescent="0.3">
      <c r="A66" s="16"/>
      <c r="B66" s="18" t="s">
        <v>56</v>
      </c>
      <c r="C66" s="22">
        <v>46269</v>
      </c>
      <c r="D66" s="18" t="s">
        <v>58</v>
      </c>
      <c r="E66" s="18" t="s">
        <v>2394</v>
      </c>
      <c r="F66" s="18" t="s">
        <v>2395</v>
      </c>
      <c r="G66" s="18" t="s">
        <v>2396</v>
      </c>
      <c r="H66" s="18">
        <v>35662</v>
      </c>
      <c r="I66" s="18" t="s">
        <v>2397</v>
      </c>
      <c r="J66" s="25" t="s">
        <v>2398</v>
      </c>
      <c r="K66" s="18" t="s">
        <v>2399</v>
      </c>
      <c r="L66" s="18" t="s">
        <v>179</v>
      </c>
      <c r="M66" s="18" t="s">
        <v>72</v>
      </c>
      <c r="N66" s="18" t="s">
        <v>2400</v>
      </c>
      <c r="O66" s="18" t="s">
        <v>237</v>
      </c>
      <c r="P66" s="18"/>
      <c r="Q66" s="18" t="s">
        <v>2401</v>
      </c>
      <c r="R66" s="18" t="s">
        <v>2402</v>
      </c>
      <c r="S66" s="18" t="s">
        <v>2403</v>
      </c>
      <c r="T66" s="18" t="s">
        <v>90</v>
      </c>
      <c r="U66" s="18" t="s">
        <v>2396</v>
      </c>
      <c r="V66" s="25" t="s">
        <v>93</v>
      </c>
      <c r="W66" s="18"/>
      <c r="X66" s="18"/>
      <c r="Y66" s="18" t="s">
        <v>229</v>
      </c>
      <c r="Z66" s="25" t="s">
        <v>2455</v>
      </c>
      <c r="AA66" s="18" t="s">
        <v>2394</v>
      </c>
      <c r="AB66" s="18" t="s">
        <v>2404</v>
      </c>
      <c r="AC66" s="18" t="s">
        <v>2396</v>
      </c>
      <c r="AD66" s="18" t="s">
        <v>105</v>
      </c>
      <c r="AE66" s="25" t="s">
        <v>113</v>
      </c>
      <c r="AF66" s="18" t="s">
        <v>2405</v>
      </c>
      <c r="AG66" s="18" t="s">
        <v>2386</v>
      </c>
      <c r="AH66" s="18">
        <v>85181698038</v>
      </c>
      <c r="AI66" s="18"/>
      <c r="AJ66" s="18"/>
      <c r="AK66" s="86" t="s">
        <v>2406</v>
      </c>
      <c r="AL66" s="86" t="s">
        <v>2407</v>
      </c>
      <c r="AM66" s="86" t="s">
        <v>2408</v>
      </c>
      <c r="AN66" s="36"/>
      <c r="AO66" s="36"/>
      <c r="AP66" s="36"/>
      <c r="AQ66" s="86" t="s">
        <v>2409</v>
      </c>
      <c r="AR66" s="18"/>
      <c r="AS66" s="36" t="s">
        <v>2446</v>
      </c>
      <c r="AT66" s="36" t="s">
        <v>227</v>
      </c>
    </row>
    <row r="67" spans="1:46" ht="13.8" x14ac:dyDescent="0.3">
      <c r="A67" s="16"/>
      <c r="B67" s="18" t="s">
        <v>56</v>
      </c>
      <c r="C67" s="22">
        <v>46269</v>
      </c>
      <c r="D67" s="18" t="s">
        <v>58</v>
      </c>
      <c r="E67" s="18" t="s">
        <v>2410</v>
      </c>
      <c r="F67" s="18" t="s">
        <v>2411</v>
      </c>
      <c r="G67" s="18" t="s">
        <v>2412</v>
      </c>
      <c r="H67" s="18">
        <v>36465</v>
      </c>
      <c r="I67" s="18" t="s">
        <v>2413</v>
      </c>
      <c r="J67" s="25" t="s">
        <v>2414</v>
      </c>
      <c r="K67" s="18" t="s">
        <v>2415</v>
      </c>
      <c r="L67" s="18" t="s">
        <v>85</v>
      </c>
      <c r="M67" s="18" t="s">
        <v>72</v>
      </c>
      <c r="N67" s="18" t="s">
        <v>2416</v>
      </c>
      <c r="O67" s="18" t="s">
        <v>237</v>
      </c>
      <c r="P67" s="18" t="s">
        <v>940</v>
      </c>
      <c r="Q67" s="18" t="s">
        <v>2417</v>
      </c>
      <c r="R67" s="18" t="s">
        <v>2418</v>
      </c>
      <c r="S67" s="18" t="s">
        <v>2419</v>
      </c>
      <c r="T67" s="18" t="s">
        <v>90</v>
      </c>
      <c r="U67" s="18" t="s">
        <v>2412</v>
      </c>
      <c r="V67" s="25" t="s">
        <v>93</v>
      </c>
      <c r="W67" s="18" t="s">
        <v>940</v>
      </c>
      <c r="X67" s="18"/>
      <c r="Y67" s="18" t="s">
        <v>97</v>
      </c>
      <c r="Z67" s="25" t="s">
        <v>2453</v>
      </c>
      <c r="AA67" s="18" t="s">
        <v>2410</v>
      </c>
      <c r="AB67" s="18" t="s">
        <v>2420</v>
      </c>
      <c r="AC67" s="18" t="s">
        <v>2412</v>
      </c>
      <c r="AD67" s="18" t="s">
        <v>105</v>
      </c>
      <c r="AE67" s="25" t="s">
        <v>113</v>
      </c>
      <c r="AF67" s="18" t="s">
        <v>2421</v>
      </c>
      <c r="AG67" s="18" t="s">
        <v>396</v>
      </c>
      <c r="AH67" s="18">
        <v>85227812068</v>
      </c>
      <c r="AI67" s="18"/>
      <c r="AJ67" s="18"/>
      <c r="AK67" s="86" t="s">
        <v>2422</v>
      </c>
      <c r="AL67" s="86" t="s">
        <v>2423</v>
      </c>
      <c r="AM67" s="86" t="s">
        <v>2424</v>
      </c>
      <c r="AN67" s="36"/>
      <c r="AO67" s="36"/>
      <c r="AP67" s="36"/>
      <c r="AQ67" s="86" t="s">
        <v>2425</v>
      </c>
      <c r="AR67" s="18"/>
      <c r="AS67" s="36" t="s">
        <v>2447</v>
      </c>
      <c r="AT67" s="36" t="s">
        <v>227</v>
      </c>
    </row>
    <row r="68" spans="1:46" ht="13.8" x14ac:dyDescent="0.3">
      <c r="A68" s="16"/>
      <c r="B68" s="18" t="s">
        <v>56</v>
      </c>
      <c r="C68" s="22">
        <v>46269</v>
      </c>
      <c r="D68" s="18" t="s">
        <v>58</v>
      </c>
      <c r="E68" s="18" t="s">
        <v>2426</v>
      </c>
      <c r="F68" s="18" t="s">
        <v>2427</v>
      </c>
      <c r="G68" s="18" t="s">
        <v>1960</v>
      </c>
      <c r="H68" s="18">
        <v>33439</v>
      </c>
      <c r="I68" s="18" t="s">
        <v>2428</v>
      </c>
      <c r="J68" s="25" t="s">
        <v>2429</v>
      </c>
      <c r="K68" s="18" t="s">
        <v>2430</v>
      </c>
      <c r="L68" s="18" t="s">
        <v>2431</v>
      </c>
      <c r="M68" s="18" t="s">
        <v>72</v>
      </c>
      <c r="N68" s="18" t="s">
        <v>2432</v>
      </c>
      <c r="O68" s="18" t="s">
        <v>237</v>
      </c>
      <c r="P68" s="18">
        <v>13459107000164</v>
      </c>
      <c r="Q68" s="18" t="s">
        <v>2433</v>
      </c>
      <c r="R68" s="18" t="s">
        <v>2434</v>
      </c>
      <c r="S68" s="18" t="s">
        <v>2435</v>
      </c>
      <c r="T68" s="18" t="s">
        <v>90</v>
      </c>
      <c r="U68" s="18" t="s">
        <v>2436</v>
      </c>
      <c r="V68" s="25" t="s">
        <v>93</v>
      </c>
      <c r="W68" s="18"/>
      <c r="X68" s="18"/>
      <c r="Y68" s="18" t="s">
        <v>97</v>
      </c>
      <c r="Z68" s="25" t="s">
        <v>2454</v>
      </c>
      <c r="AA68" s="18" t="s">
        <v>2426</v>
      </c>
      <c r="AB68" s="18" t="s">
        <v>2430</v>
      </c>
      <c r="AC68" s="18" t="s">
        <v>2437</v>
      </c>
      <c r="AD68" s="18" t="s">
        <v>105</v>
      </c>
      <c r="AE68" s="25" t="s">
        <v>113</v>
      </c>
      <c r="AF68" s="18" t="s">
        <v>2438</v>
      </c>
      <c r="AG68" s="18" t="s">
        <v>594</v>
      </c>
      <c r="AH68" s="18">
        <v>85641889328</v>
      </c>
      <c r="AI68" s="18"/>
      <c r="AJ68" s="18"/>
      <c r="AK68" s="86" t="s">
        <v>2439</v>
      </c>
      <c r="AL68" s="86" t="s">
        <v>2440</v>
      </c>
      <c r="AM68" s="86" t="s">
        <v>2441</v>
      </c>
      <c r="AN68" s="36"/>
      <c r="AO68" s="36"/>
      <c r="AP68" s="86" t="s">
        <v>2442</v>
      </c>
      <c r="AQ68" s="86" t="s">
        <v>2443</v>
      </c>
      <c r="AR68" s="18"/>
      <c r="AS68" s="36" t="s">
        <v>2448</v>
      </c>
      <c r="AT68" s="36" t="s">
        <v>227</v>
      </c>
    </row>
  </sheetData>
  <hyperlinks>
    <hyperlink ref="AL39" r:id="rId1" xr:uid="{00000000-0004-0000-0000-000000000000}"/>
    <hyperlink ref="AL40" r:id="rId2" xr:uid="{00000000-0004-0000-0000-000001000000}"/>
    <hyperlink ref="AK45" r:id="rId3" xr:uid="{00000000-0004-0000-0000-000002000000}"/>
    <hyperlink ref="AK49" r:id="rId4" xr:uid="{00000000-0004-0000-0000-000003000000}"/>
    <hyperlink ref="AK55" r:id="rId5" xr:uid="{00000000-0004-0000-0000-000004000000}"/>
    <hyperlink ref="AL55" r:id="rId6" xr:uid="{00000000-0004-0000-0000-000005000000}"/>
    <hyperlink ref="AM55" r:id="rId7" xr:uid="{00000000-0004-0000-0000-000006000000}"/>
    <hyperlink ref="AP55" r:id="rId8" xr:uid="{00000000-0004-0000-0000-000007000000}"/>
    <hyperlink ref="AQ55" r:id="rId9" xr:uid="{00000000-0004-0000-0000-000008000000}"/>
    <hyperlink ref="AK56" r:id="rId10" xr:uid="{00000000-0004-0000-0000-000009000000}"/>
    <hyperlink ref="AL56" r:id="rId11" xr:uid="{00000000-0004-0000-0000-00000A000000}"/>
    <hyperlink ref="AM56" r:id="rId12" xr:uid="{00000000-0004-0000-0000-00000B000000}"/>
    <hyperlink ref="AN56" r:id="rId13" xr:uid="{00000000-0004-0000-0000-00000C000000}"/>
    <hyperlink ref="AO56" r:id="rId14" xr:uid="{00000000-0004-0000-0000-00000D000000}"/>
    <hyperlink ref="AP56" r:id="rId15" xr:uid="{00000000-0004-0000-0000-00000E000000}"/>
    <hyperlink ref="AQ56" r:id="rId16" xr:uid="{00000000-0004-0000-0000-00000F000000}"/>
    <hyperlink ref="AK64" r:id="rId17" xr:uid="{00000000-0004-0000-0000-000010000000}"/>
    <hyperlink ref="AL64" r:id="rId18" xr:uid="{00000000-0004-0000-0000-000011000000}"/>
    <hyperlink ref="AM64" r:id="rId19" xr:uid="{00000000-0004-0000-0000-000012000000}"/>
    <hyperlink ref="AN64" r:id="rId20" xr:uid="{00000000-0004-0000-0000-000013000000}"/>
    <hyperlink ref="AO64" r:id="rId21" xr:uid="{00000000-0004-0000-0000-000014000000}"/>
    <hyperlink ref="AP64" r:id="rId22" xr:uid="{00000000-0004-0000-0000-000015000000}"/>
    <hyperlink ref="AQ64" r:id="rId23" xr:uid="{00000000-0004-0000-0000-000016000000}"/>
    <hyperlink ref="AK65" r:id="rId24" xr:uid="{00000000-0004-0000-0000-000017000000}"/>
    <hyperlink ref="AL65" r:id="rId25" xr:uid="{00000000-0004-0000-0000-000018000000}"/>
    <hyperlink ref="AM65" r:id="rId26" xr:uid="{00000000-0004-0000-0000-000019000000}"/>
    <hyperlink ref="AN65" r:id="rId27" xr:uid="{00000000-0004-0000-0000-00001A000000}"/>
    <hyperlink ref="AO65" r:id="rId28" xr:uid="{00000000-0004-0000-0000-00001B000000}"/>
    <hyperlink ref="AP65" r:id="rId29" xr:uid="{00000000-0004-0000-0000-00001C000000}"/>
    <hyperlink ref="AQ65" r:id="rId30" xr:uid="{00000000-0004-0000-0000-00001D000000}"/>
    <hyperlink ref="AK66" r:id="rId31" xr:uid="{00000000-0004-0000-0000-00001E000000}"/>
    <hyperlink ref="AL66" r:id="rId32" xr:uid="{00000000-0004-0000-0000-00001F000000}"/>
    <hyperlink ref="AM66" r:id="rId33" xr:uid="{00000000-0004-0000-0000-000020000000}"/>
    <hyperlink ref="AQ66" r:id="rId34" xr:uid="{00000000-0004-0000-0000-000021000000}"/>
    <hyperlink ref="AK67" r:id="rId35" xr:uid="{00000000-0004-0000-0000-000022000000}"/>
    <hyperlink ref="AL67" r:id="rId36" xr:uid="{00000000-0004-0000-0000-000023000000}"/>
    <hyperlink ref="AM67" r:id="rId37" xr:uid="{00000000-0004-0000-0000-000024000000}"/>
    <hyperlink ref="AQ67" r:id="rId38" xr:uid="{00000000-0004-0000-0000-000025000000}"/>
    <hyperlink ref="AK68" r:id="rId39" xr:uid="{00000000-0004-0000-0000-000026000000}"/>
    <hyperlink ref="AL68" r:id="rId40" xr:uid="{00000000-0004-0000-0000-000027000000}"/>
    <hyperlink ref="AM68" r:id="rId41" xr:uid="{00000000-0004-0000-0000-000028000000}"/>
    <hyperlink ref="AP68" r:id="rId42" xr:uid="{00000000-0004-0000-0000-000029000000}"/>
    <hyperlink ref="AQ68" r:id="rId43" xr:uid="{00000000-0004-0000-0000-00002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1000"/>
  <sheetViews>
    <sheetView topLeftCell="AS1" workbookViewId="0">
      <selection activeCell="AT2" sqref="AT2"/>
    </sheetView>
  </sheetViews>
  <sheetFormatPr defaultColWidth="12.6640625" defaultRowHeight="15.75" customHeight="1" x14ac:dyDescent="0.25"/>
  <cols>
    <col min="1" max="1" width="12.6640625" customWidth="1"/>
    <col min="2" max="2" width="16.33203125" customWidth="1"/>
    <col min="3" max="3" width="10.88671875" customWidth="1"/>
    <col min="4" max="4" width="25.77734375" customWidth="1"/>
    <col min="5" max="5" width="23.44140625" customWidth="1"/>
    <col min="6" max="6" width="15.33203125" customWidth="1"/>
    <col min="7" max="8" width="12.6640625" customWidth="1"/>
    <col min="9" max="9" width="34" customWidth="1"/>
    <col min="10" max="10" width="12.6640625" customWidth="1"/>
    <col min="11" max="11" width="91.21875" customWidth="1"/>
    <col min="12" max="16" width="12.6640625" customWidth="1"/>
    <col min="17" max="17" width="14.44140625" customWidth="1"/>
    <col min="18" max="18" width="18.109375" customWidth="1"/>
    <col min="19" max="19" width="150.109375" customWidth="1"/>
    <col min="20" max="20" width="10.88671875" customWidth="1"/>
    <col min="21" max="21" width="19.77734375" customWidth="1"/>
    <col min="22" max="24" width="12.6640625" customWidth="1"/>
    <col min="25" max="25" width="7.33203125" customWidth="1"/>
    <col min="26" max="26" width="12.6640625" customWidth="1"/>
    <col min="27" max="27" width="23.44140625" customWidth="1"/>
    <col min="28" max="28" width="91.21875" customWidth="1"/>
    <col min="29" max="31" width="12.6640625" customWidth="1"/>
    <col min="32" max="32" width="13.109375" customWidth="1"/>
    <col min="33" max="33" width="23.88671875" customWidth="1"/>
    <col min="34" max="34" width="18.21875" customWidth="1"/>
    <col min="35" max="43" width="12.6640625" customWidth="1"/>
    <col min="44" max="44" width="28.33203125" customWidth="1"/>
    <col min="45" max="45" width="6.109375" customWidth="1"/>
    <col min="46" max="47" width="24.44140625" customWidth="1"/>
  </cols>
  <sheetData>
    <row r="1" spans="1:47" ht="41.4" x14ac:dyDescent="0.3">
      <c r="A1" s="2" t="s">
        <v>0</v>
      </c>
      <c r="B1" s="3" t="s">
        <v>1</v>
      </c>
      <c r="C1" s="5" t="s">
        <v>2</v>
      </c>
      <c r="D1" s="6" t="s">
        <v>4</v>
      </c>
      <c r="E1" s="3" t="s">
        <v>5</v>
      </c>
      <c r="F1" s="2" t="s">
        <v>6</v>
      </c>
      <c r="G1" s="3" t="s">
        <v>7</v>
      </c>
      <c r="H1" s="8" t="s">
        <v>8</v>
      </c>
      <c r="I1" s="3" t="s">
        <v>9</v>
      </c>
      <c r="J1" s="2" t="s">
        <v>10</v>
      </c>
      <c r="K1" s="3" t="s">
        <v>11</v>
      </c>
      <c r="L1" s="3" t="s">
        <v>12</v>
      </c>
      <c r="M1" s="3" t="s">
        <v>13</v>
      </c>
      <c r="N1" s="3" t="s">
        <v>14</v>
      </c>
      <c r="O1" s="3" t="s">
        <v>15</v>
      </c>
      <c r="P1" s="2" t="s">
        <v>16</v>
      </c>
      <c r="Q1" s="2" t="s">
        <v>17</v>
      </c>
      <c r="R1" s="3" t="s">
        <v>18</v>
      </c>
      <c r="S1" s="3" t="s">
        <v>19</v>
      </c>
      <c r="T1" s="3" t="s">
        <v>20</v>
      </c>
      <c r="U1" s="3" t="s">
        <v>21</v>
      </c>
      <c r="V1" s="9" t="s">
        <v>22</v>
      </c>
      <c r="W1" s="3" t="s">
        <v>23</v>
      </c>
      <c r="X1" s="3" t="s">
        <v>24</v>
      </c>
      <c r="Y1" s="3" t="s">
        <v>25</v>
      </c>
      <c r="Z1" s="3" t="s">
        <v>26</v>
      </c>
      <c r="AA1" s="3" t="s">
        <v>27</v>
      </c>
      <c r="AB1" s="3" t="s">
        <v>28</v>
      </c>
      <c r="AC1" s="3" t="s">
        <v>29</v>
      </c>
      <c r="AD1" s="3" t="s">
        <v>30</v>
      </c>
      <c r="AE1" s="3" t="s">
        <v>31</v>
      </c>
      <c r="AF1" s="11" t="s">
        <v>37</v>
      </c>
      <c r="AG1" s="3" t="s">
        <v>40</v>
      </c>
      <c r="AH1" s="13" t="s">
        <v>43</v>
      </c>
      <c r="AI1" s="3" t="s">
        <v>32</v>
      </c>
      <c r="AJ1" s="3" t="s">
        <v>33</v>
      </c>
      <c r="AK1" s="3" t="s">
        <v>34</v>
      </c>
      <c r="AL1" s="14" t="s">
        <v>49</v>
      </c>
      <c r="AM1" s="14" t="s">
        <v>38</v>
      </c>
      <c r="AN1" s="14" t="s">
        <v>54</v>
      </c>
      <c r="AO1" s="14" t="s">
        <v>42</v>
      </c>
      <c r="AP1" s="14" t="s">
        <v>45</v>
      </c>
      <c r="AQ1" s="14" t="s">
        <v>41</v>
      </c>
      <c r="AR1" s="14" t="s">
        <v>50</v>
      </c>
      <c r="AS1" s="17" t="s">
        <v>55</v>
      </c>
      <c r="AT1" s="20" t="s">
        <v>53</v>
      </c>
      <c r="AU1" s="21" t="s">
        <v>43</v>
      </c>
    </row>
    <row r="2" spans="1:47" ht="15.75" customHeight="1" x14ac:dyDescent="0.3">
      <c r="A2" s="19">
        <v>19969</v>
      </c>
      <c r="B2" s="18" t="s">
        <v>57</v>
      </c>
      <c r="C2" s="22" t="s">
        <v>66</v>
      </c>
      <c r="D2" s="18" t="s">
        <v>58</v>
      </c>
      <c r="E2" s="18" t="s">
        <v>71</v>
      </c>
      <c r="F2" s="23" t="s">
        <v>75</v>
      </c>
      <c r="G2" s="18" t="s">
        <v>76</v>
      </c>
      <c r="H2" s="22">
        <v>32305</v>
      </c>
      <c r="I2" s="18" t="s">
        <v>78</v>
      </c>
      <c r="J2" s="23" t="s">
        <v>81</v>
      </c>
      <c r="K2" s="18" t="s">
        <v>83</v>
      </c>
      <c r="L2" s="18" t="s">
        <v>70</v>
      </c>
      <c r="M2" s="18" t="s">
        <v>72</v>
      </c>
      <c r="N2" s="18" t="s">
        <v>88</v>
      </c>
      <c r="O2" s="18" t="s">
        <v>74</v>
      </c>
      <c r="P2" s="19">
        <v>0</v>
      </c>
      <c r="Q2" s="23" t="s">
        <v>95</v>
      </c>
      <c r="R2" s="18" t="s">
        <v>98</v>
      </c>
      <c r="S2" s="24" t="s">
        <v>104</v>
      </c>
      <c r="T2" s="18" t="s">
        <v>102</v>
      </c>
      <c r="U2" s="18" t="s">
        <v>108</v>
      </c>
      <c r="V2" s="18" t="s">
        <v>93</v>
      </c>
      <c r="W2" s="19">
        <v>0</v>
      </c>
      <c r="X2" s="18">
        <v>0</v>
      </c>
      <c r="Y2" s="18" t="s">
        <v>97</v>
      </c>
      <c r="Z2" s="19">
        <v>2090336749</v>
      </c>
      <c r="AA2" s="18" t="s">
        <v>114</v>
      </c>
      <c r="AB2" s="18" t="s">
        <v>115</v>
      </c>
      <c r="AC2" s="18" t="s">
        <v>76</v>
      </c>
      <c r="AD2" s="18" t="s">
        <v>105</v>
      </c>
      <c r="AE2" s="18" t="s">
        <v>116</v>
      </c>
      <c r="AF2" s="27"/>
      <c r="AG2" s="18" t="s">
        <v>117</v>
      </c>
      <c r="AH2" s="31" t="s">
        <v>118</v>
      </c>
      <c r="AI2" s="29"/>
      <c r="AJ2" s="29"/>
      <c r="AK2" s="29"/>
      <c r="AL2" s="32" t="s">
        <v>123</v>
      </c>
      <c r="AM2" s="32" t="s">
        <v>159</v>
      </c>
      <c r="AN2" s="32" t="s">
        <v>160</v>
      </c>
      <c r="AO2" s="32" t="s">
        <v>161</v>
      </c>
      <c r="AP2" s="32" t="s">
        <v>162</v>
      </c>
      <c r="AQ2" s="32" t="s">
        <v>163</v>
      </c>
      <c r="AR2" s="18" t="s">
        <v>189</v>
      </c>
      <c r="AS2" s="18" t="s">
        <v>191</v>
      </c>
      <c r="AT2" s="39" t="s">
        <v>59</v>
      </c>
      <c r="AU2" s="31"/>
    </row>
    <row r="3" spans="1:47" ht="15.75" customHeight="1" x14ac:dyDescent="0.3">
      <c r="A3" s="19">
        <v>20039</v>
      </c>
      <c r="B3" s="18" t="s">
        <v>57</v>
      </c>
      <c r="C3" s="22">
        <v>46178</v>
      </c>
      <c r="D3" s="18" t="s">
        <v>58</v>
      </c>
      <c r="E3" s="18" t="s">
        <v>201</v>
      </c>
      <c r="F3" s="23" t="s">
        <v>204</v>
      </c>
      <c r="G3" s="18" t="s">
        <v>63</v>
      </c>
      <c r="H3" s="22">
        <v>38734</v>
      </c>
      <c r="I3" s="18" t="s">
        <v>212</v>
      </c>
      <c r="J3" s="23" t="s">
        <v>214</v>
      </c>
      <c r="K3" s="18" t="s">
        <v>216</v>
      </c>
      <c r="L3" s="18" t="s">
        <v>141</v>
      </c>
      <c r="M3" s="18" t="s">
        <v>72</v>
      </c>
      <c r="N3" s="18" t="s">
        <v>218</v>
      </c>
      <c r="O3" s="18" t="s">
        <v>74</v>
      </c>
      <c r="P3" s="25" t="s">
        <v>204</v>
      </c>
      <c r="Q3" s="23" t="s">
        <v>222</v>
      </c>
      <c r="R3" s="18" t="s">
        <v>224</v>
      </c>
      <c r="S3" s="18" t="s">
        <v>226</v>
      </c>
      <c r="T3" s="18" t="s">
        <v>102</v>
      </c>
      <c r="U3" s="18" t="s">
        <v>112</v>
      </c>
      <c r="V3" s="18" t="s">
        <v>93</v>
      </c>
      <c r="W3" s="19">
        <v>0</v>
      </c>
      <c r="X3" s="18">
        <v>0</v>
      </c>
      <c r="Y3" s="18" t="s">
        <v>229</v>
      </c>
      <c r="Z3" s="19">
        <v>1770025425130</v>
      </c>
      <c r="AA3" s="18" t="s">
        <v>201</v>
      </c>
      <c r="AB3" s="18" t="s">
        <v>216</v>
      </c>
      <c r="AC3" s="18" t="s">
        <v>63</v>
      </c>
      <c r="AD3" s="18" t="s">
        <v>105</v>
      </c>
      <c r="AE3" s="18" t="s">
        <v>116</v>
      </c>
      <c r="AF3" s="27"/>
      <c r="AG3" s="18" t="s">
        <v>246</v>
      </c>
      <c r="AH3" s="31" t="s">
        <v>248</v>
      </c>
      <c r="AI3" s="30"/>
      <c r="AJ3" s="30"/>
      <c r="AK3" s="30"/>
      <c r="AL3" s="32" t="s">
        <v>251</v>
      </c>
      <c r="AM3" s="43" t="s">
        <v>252</v>
      </c>
      <c r="AN3" s="43" t="s">
        <v>253</v>
      </c>
      <c r="AO3" s="43" t="s">
        <v>255</v>
      </c>
      <c r="AP3" s="43" t="s">
        <v>256</v>
      </c>
      <c r="AQ3" s="43" t="s">
        <v>257</v>
      </c>
      <c r="AR3" s="18" t="s">
        <v>258</v>
      </c>
      <c r="AS3" s="18" t="s">
        <v>191</v>
      </c>
      <c r="AT3" s="44" t="s">
        <v>59</v>
      </c>
      <c r="AU3" s="18"/>
    </row>
    <row r="4" spans="1:47" ht="15.75" customHeight="1" x14ac:dyDescent="0.3">
      <c r="A4" s="19">
        <v>20059</v>
      </c>
      <c r="B4" s="18" t="s">
        <v>57</v>
      </c>
      <c r="C4" s="22">
        <v>46179</v>
      </c>
      <c r="D4" s="18" t="s">
        <v>58</v>
      </c>
      <c r="E4" s="18" t="s">
        <v>118</v>
      </c>
      <c r="F4" s="23" t="s">
        <v>265</v>
      </c>
      <c r="G4" s="18" t="s">
        <v>266</v>
      </c>
      <c r="H4" s="22" t="s">
        <v>267</v>
      </c>
      <c r="I4" s="18" t="s">
        <v>268</v>
      </c>
      <c r="J4" s="23" t="s">
        <v>270</v>
      </c>
      <c r="K4" s="18" t="s">
        <v>271</v>
      </c>
      <c r="L4" s="18" t="s">
        <v>179</v>
      </c>
      <c r="M4" s="18" t="s">
        <v>72</v>
      </c>
      <c r="N4" s="18" t="s">
        <v>273</v>
      </c>
      <c r="O4" s="18" t="s">
        <v>182</v>
      </c>
      <c r="P4" s="19">
        <v>0</v>
      </c>
      <c r="Q4" s="23" t="s">
        <v>275</v>
      </c>
      <c r="R4" s="18" t="s">
        <v>98</v>
      </c>
      <c r="S4" s="24" t="s">
        <v>278</v>
      </c>
      <c r="T4" s="18" t="s">
        <v>102</v>
      </c>
      <c r="U4" s="18" t="s">
        <v>108</v>
      </c>
      <c r="V4" s="18" t="s">
        <v>93</v>
      </c>
      <c r="W4" s="19">
        <v>0</v>
      </c>
      <c r="X4" s="18">
        <v>0</v>
      </c>
      <c r="Y4" s="18" t="s">
        <v>97</v>
      </c>
      <c r="Z4" s="19">
        <v>3211120132</v>
      </c>
      <c r="AA4" s="18" t="s">
        <v>118</v>
      </c>
      <c r="AB4" s="18" t="s">
        <v>285</v>
      </c>
      <c r="AC4" s="18" t="s">
        <v>63</v>
      </c>
      <c r="AD4" s="18" t="s">
        <v>105</v>
      </c>
      <c r="AE4" s="18" t="s">
        <v>116</v>
      </c>
      <c r="AF4" s="27"/>
      <c r="AG4" s="18" t="s">
        <v>117</v>
      </c>
      <c r="AH4" s="31" t="s">
        <v>166</v>
      </c>
      <c r="AI4" s="30"/>
      <c r="AJ4" s="30"/>
      <c r="AK4" s="30"/>
      <c r="AL4" s="32" t="s">
        <v>289</v>
      </c>
      <c r="AM4" s="43" t="s">
        <v>290</v>
      </c>
      <c r="AN4" s="43" t="s">
        <v>291</v>
      </c>
      <c r="AO4" s="43" t="s">
        <v>293</v>
      </c>
      <c r="AP4" s="43" t="s">
        <v>295</v>
      </c>
      <c r="AQ4" s="43" t="s">
        <v>297</v>
      </c>
      <c r="AR4" s="18" t="s">
        <v>189</v>
      </c>
      <c r="AS4" s="18" t="s">
        <v>191</v>
      </c>
      <c r="AT4" s="44" t="s">
        <v>59</v>
      </c>
      <c r="AU4" s="18"/>
    </row>
    <row r="5" spans="1:47" ht="15.75" customHeight="1" x14ac:dyDescent="0.3">
      <c r="A5" s="19">
        <v>20137</v>
      </c>
      <c r="B5" s="18" t="s">
        <v>57</v>
      </c>
      <c r="C5" s="22">
        <v>46178</v>
      </c>
      <c r="D5" s="18" t="s">
        <v>58</v>
      </c>
      <c r="E5" s="18" t="s">
        <v>303</v>
      </c>
      <c r="F5" s="23" t="s">
        <v>305</v>
      </c>
      <c r="G5" s="18" t="s">
        <v>307</v>
      </c>
      <c r="H5" s="22">
        <v>33932</v>
      </c>
      <c r="I5" s="18" t="s">
        <v>310</v>
      </c>
      <c r="J5" s="23" t="s">
        <v>312</v>
      </c>
      <c r="K5" s="18" t="s">
        <v>314</v>
      </c>
      <c r="L5" s="18" t="s">
        <v>70</v>
      </c>
      <c r="M5" s="18" t="s">
        <v>72</v>
      </c>
      <c r="N5" s="18" t="s">
        <v>317</v>
      </c>
      <c r="O5" s="18" t="s">
        <v>74</v>
      </c>
      <c r="P5" s="19">
        <v>0</v>
      </c>
      <c r="Q5" s="23" t="s">
        <v>320</v>
      </c>
      <c r="R5" s="18" t="s">
        <v>322</v>
      </c>
      <c r="S5" s="24" t="s">
        <v>325</v>
      </c>
      <c r="T5" s="18" t="s">
        <v>102</v>
      </c>
      <c r="U5" s="18" t="s">
        <v>328</v>
      </c>
      <c r="V5" s="18" t="s">
        <v>93</v>
      </c>
      <c r="W5" s="19">
        <v>0</v>
      </c>
      <c r="X5" s="18">
        <v>0</v>
      </c>
      <c r="Y5" s="18" t="s">
        <v>97</v>
      </c>
      <c r="Z5" s="19">
        <v>3460942976</v>
      </c>
      <c r="AA5" s="18" t="s">
        <v>303</v>
      </c>
      <c r="AB5" s="18" t="s">
        <v>331</v>
      </c>
      <c r="AC5" s="18" t="s">
        <v>332</v>
      </c>
      <c r="AD5" s="18" t="s">
        <v>105</v>
      </c>
      <c r="AE5" s="18" t="s">
        <v>116</v>
      </c>
      <c r="AF5" s="27"/>
      <c r="AG5" s="18" t="s">
        <v>117</v>
      </c>
      <c r="AH5" s="46" t="s">
        <v>339</v>
      </c>
      <c r="AI5" s="30"/>
      <c r="AJ5" s="30"/>
      <c r="AK5" s="30"/>
      <c r="AL5" s="32" t="s">
        <v>343</v>
      </c>
      <c r="AM5" s="43" t="s">
        <v>344</v>
      </c>
      <c r="AN5" s="43" t="s">
        <v>345</v>
      </c>
      <c r="AO5" s="43" t="s">
        <v>346</v>
      </c>
      <c r="AP5" s="43" t="s">
        <v>347</v>
      </c>
      <c r="AQ5" s="43" t="s">
        <v>348</v>
      </c>
      <c r="AR5" s="18" t="s">
        <v>349</v>
      </c>
      <c r="AS5" s="18" t="s">
        <v>191</v>
      </c>
      <c r="AT5" s="44" t="s">
        <v>59</v>
      </c>
      <c r="AU5" s="18"/>
    </row>
    <row r="6" spans="1:47" ht="15.75" customHeight="1" x14ac:dyDescent="0.3">
      <c r="A6" s="19">
        <v>20144</v>
      </c>
      <c r="B6" s="18" t="s">
        <v>57</v>
      </c>
      <c r="C6" s="22">
        <v>46192</v>
      </c>
      <c r="D6" s="18" t="s">
        <v>58</v>
      </c>
      <c r="E6" s="18" t="s">
        <v>354</v>
      </c>
      <c r="F6" s="25" t="s">
        <v>356</v>
      </c>
      <c r="G6" s="18" t="s">
        <v>358</v>
      </c>
      <c r="H6" s="22">
        <v>37070</v>
      </c>
      <c r="I6" s="18" t="s">
        <v>360</v>
      </c>
      <c r="J6" s="25" t="s">
        <v>361</v>
      </c>
      <c r="K6" s="18" t="s">
        <v>364</v>
      </c>
      <c r="L6" s="18" t="s">
        <v>85</v>
      </c>
      <c r="M6" s="18" t="s">
        <v>72</v>
      </c>
      <c r="N6" s="18" t="s">
        <v>368</v>
      </c>
      <c r="O6" s="18" t="s">
        <v>182</v>
      </c>
      <c r="P6" s="19">
        <v>0</v>
      </c>
      <c r="Q6" s="25" t="s">
        <v>373</v>
      </c>
      <c r="R6" s="18" t="s">
        <v>375</v>
      </c>
      <c r="S6" s="18" t="s">
        <v>378</v>
      </c>
      <c r="T6" s="18" t="s">
        <v>102</v>
      </c>
      <c r="U6" s="18" t="s">
        <v>108</v>
      </c>
      <c r="V6" s="18" t="s">
        <v>93</v>
      </c>
      <c r="W6" s="19">
        <v>0</v>
      </c>
      <c r="X6" s="18">
        <v>0</v>
      </c>
      <c r="Y6" s="18" t="s">
        <v>97</v>
      </c>
      <c r="Z6" s="19">
        <v>7772376033</v>
      </c>
      <c r="AA6" s="18" t="s">
        <v>354</v>
      </c>
      <c r="AB6" s="18" t="s">
        <v>391</v>
      </c>
      <c r="AC6" s="18" t="s">
        <v>392</v>
      </c>
      <c r="AD6" s="18" t="s">
        <v>105</v>
      </c>
      <c r="AE6" s="18" t="s">
        <v>116</v>
      </c>
      <c r="AF6" s="27"/>
      <c r="AG6" s="18" t="s">
        <v>117</v>
      </c>
      <c r="AH6" s="18" t="s">
        <v>397</v>
      </c>
      <c r="AI6" s="30"/>
      <c r="AJ6" s="30"/>
      <c r="AK6" s="30"/>
      <c r="AL6" s="32" t="s">
        <v>401</v>
      </c>
      <c r="AM6" s="43" t="s">
        <v>422</v>
      </c>
      <c r="AN6" s="43" t="s">
        <v>424</v>
      </c>
      <c r="AO6" s="43" t="s">
        <v>426</v>
      </c>
      <c r="AP6" s="43" t="s">
        <v>427</v>
      </c>
      <c r="AQ6" s="43" t="s">
        <v>429</v>
      </c>
      <c r="AR6" s="18" t="s">
        <v>430</v>
      </c>
      <c r="AS6" s="18" t="s">
        <v>191</v>
      </c>
      <c r="AT6" s="44" t="s">
        <v>59</v>
      </c>
      <c r="AU6" s="18"/>
    </row>
    <row r="7" spans="1:47" ht="15.75" customHeight="1" x14ac:dyDescent="0.3">
      <c r="A7" s="19">
        <v>20024</v>
      </c>
      <c r="B7" s="18" t="s">
        <v>57</v>
      </c>
      <c r="C7" s="22">
        <v>46178</v>
      </c>
      <c r="D7" s="18" t="s">
        <v>58</v>
      </c>
      <c r="E7" s="18" t="s">
        <v>435</v>
      </c>
      <c r="F7" s="23" t="s">
        <v>437</v>
      </c>
      <c r="G7" s="18" t="s">
        <v>438</v>
      </c>
      <c r="H7" s="22">
        <v>33777</v>
      </c>
      <c r="I7" s="18" t="s">
        <v>440</v>
      </c>
      <c r="J7" s="23" t="s">
        <v>441</v>
      </c>
      <c r="K7" s="18" t="s">
        <v>442</v>
      </c>
      <c r="L7" s="18" t="s">
        <v>179</v>
      </c>
      <c r="M7" s="18" t="s">
        <v>72</v>
      </c>
      <c r="N7" s="18">
        <v>156</v>
      </c>
      <c r="O7" s="18" t="s">
        <v>182</v>
      </c>
      <c r="P7" s="19">
        <v>320832626920001</v>
      </c>
      <c r="Q7" s="23" t="s">
        <v>445</v>
      </c>
      <c r="R7" s="18" t="s">
        <v>447</v>
      </c>
      <c r="S7" s="18" t="s">
        <v>449</v>
      </c>
      <c r="T7" s="18" t="s">
        <v>102</v>
      </c>
      <c r="U7" s="18" t="s">
        <v>452</v>
      </c>
      <c r="V7" s="18" t="s">
        <v>93</v>
      </c>
      <c r="W7" s="25" t="s">
        <v>437</v>
      </c>
      <c r="X7" s="18" t="s">
        <v>435</v>
      </c>
      <c r="Y7" s="18" t="s">
        <v>389</v>
      </c>
      <c r="Z7" s="19">
        <v>901279940328</v>
      </c>
      <c r="AA7" s="18" t="s">
        <v>435</v>
      </c>
      <c r="AB7" s="18" t="s">
        <v>438</v>
      </c>
      <c r="AC7" s="18" t="s">
        <v>438</v>
      </c>
      <c r="AD7" s="18" t="s">
        <v>105</v>
      </c>
      <c r="AE7" s="18" t="s">
        <v>116</v>
      </c>
      <c r="AF7" s="27"/>
      <c r="AG7" s="18" t="s">
        <v>117</v>
      </c>
      <c r="AH7" s="31" t="s">
        <v>457</v>
      </c>
      <c r="AI7" s="30"/>
      <c r="AJ7" s="30"/>
      <c r="AK7" s="30"/>
      <c r="AL7" s="32" t="s">
        <v>458</v>
      </c>
      <c r="AM7" s="43" t="s">
        <v>460</v>
      </c>
      <c r="AN7" s="43" t="s">
        <v>462</v>
      </c>
      <c r="AO7" s="43" t="s">
        <v>463</v>
      </c>
      <c r="AP7" s="43" t="s">
        <v>464</v>
      </c>
      <c r="AQ7" s="43" t="s">
        <v>466</v>
      </c>
      <c r="AR7" s="18" t="s">
        <v>468</v>
      </c>
      <c r="AS7" s="18" t="s">
        <v>191</v>
      </c>
      <c r="AT7" s="44" t="s">
        <v>59</v>
      </c>
      <c r="AU7" s="18"/>
    </row>
    <row r="8" spans="1:47" ht="15.75" customHeight="1" x14ac:dyDescent="0.3">
      <c r="A8" s="19">
        <v>20138</v>
      </c>
      <c r="B8" s="18" t="s">
        <v>57</v>
      </c>
      <c r="C8" s="22">
        <v>46178</v>
      </c>
      <c r="D8" s="18" t="s">
        <v>58</v>
      </c>
      <c r="E8" s="18" t="s">
        <v>474</v>
      </c>
      <c r="F8" s="23" t="s">
        <v>475</v>
      </c>
      <c r="G8" s="18" t="s">
        <v>476</v>
      </c>
      <c r="H8" s="22">
        <v>38386</v>
      </c>
      <c r="I8" s="18" t="s">
        <v>478</v>
      </c>
      <c r="J8" s="23" t="s">
        <v>479</v>
      </c>
      <c r="K8" s="18" t="s">
        <v>481</v>
      </c>
      <c r="L8" s="18" t="s">
        <v>234</v>
      </c>
      <c r="M8" s="18" t="s">
        <v>72</v>
      </c>
      <c r="N8" s="18" t="s">
        <v>483</v>
      </c>
      <c r="O8" s="18" t="s">
        <v>74</v>
      </c>
      <c r="P8" s="19">
        <v>0</v>
      </c>
      <c r="Q8" s="23" t="s">
        <v>484</v>
      </c>
      <c r="R8" s="18" t="s">
        <v>485</v>
      </c>
      <c r="S8" s="18" t="s">
        <v>486</v>
      </c>
      <c r="T8" s="18" t="s">
        <v>102</v>
      </c>
      <c r="U8" s="18" t="s">
        <v>328</v>
      </c>
      <c r="V8" s="18" t="s">
        <v>93</v>
      </c>
      <c r="W8" s="19">
        <v>0</v>
      </c>
      <c r="X8" s="18">
        <v>0</v>
      </c>
      <c r="Y8" s="18" t="s">
        <v>229</v>
      </c>
      <c r="Z8" s="19">
        <v>1820016097347</v>
      </c>
      <c r="AA8" s="18" t="s">
        <v>474</v>
      </c>
      <c r="AB8" s="18" t="s">
        <v>481</v>
      </c>
      <c r="AC8" s="18" t="s">
        <v>476</v>
      </c>
      <c r="AD8" s="18" t="s">
        <v>105</v>
      </c>
      <c r="AE8" s="18" t="s">
        <v>116</v>
      </c>
      <c r="AF8" s="47">
        <v>46202</v>
      </c>
      <c r="AG8" s="31" t="s">
        <v>500</v>
      </c>
      <c r="AH8" s="48"/>
      <c r="AI8" s="30"/>
      <c r="AJ8" s="30"/>
      <c r="AK8" s="30"/>
      <c r="AL8" s="32" t="s">
        <v>506</v>
      </c>
      <c r="AM8" s="43" t="s">
        <v>509</v>
      </c>
      <c r="AN8" s="43" t="s">
        <v>511</v>
      </c>
      <c r="AO8" s="43" t="s">
        <v>512</v>
      </c>
      <c r="AP8" s="43" t="s">
        <v>513</v>
      </c>
      <c r="AQ8" s="43" t="s">
        <v>514</v>
      </c>
      <c r="AR8" s="18" t="s">
        <v>349</v>
      </c>
      <c r="AS8" s="18" t="s">
        <v>191</v>
      </c>
      <c r="AT8" s="44" t="s">
        <v>59</v>
      </c>
      <c r="AU8" s="18"/>
    </row>
    <row r="9" spans="1:47" ht="15.75" customHeight="1" x14ac:dyDescent="0.3">
      <c r="A9" s="19">
        <v>20139</v>
      </c>
      <c r="B9" s="18" t="s">
        <v>57</v>
      </c>
      <c r="C9" s="22">
        <v>45827</v>
      </c>
      <c r="D9" s="18" t="s">
        <v>58</v>
      </c>
      <c r="E9" s="18" t="s">
        <v>339</v>
      </c>
      <c r="F9" s="23" t="s">
        <v>520</v>
      </c>
      <c r="G9" s="18" t="s">
        <v>476</v>
      </c>
      <c r="H9" s="22">
        <v>36260</v>
      </c>
      <c r="I9" s="18" t="s">
        <v>524</v>
      </c>
      <c r="J9" s="23" t="s">
        <v>526</v>
      </c>
      <c r="K9" s="18" t="s">
        <v>528</v>
      </c>
      <c r="L9" s="18" t="s">
        <v>234</v>
      </c>
      <c r="M9" s="18" t="s">
        <v>72</v>
      </c>
      <c r="N9" s="18" t="s">
        <v>530</v>
      </c>
      <c r="O9" s="18" t="s">
        <v>92</v>
      </c>
      <c r="P9" s="19">
        <v>0</v>
      </c>
      <c r="Q9" s="23" t="s">
        <v>531</v>
      </c>
      <c r="R9" s="18" t="s">
        <v>532</v>
      </c>
      <c r="S9" s="18" t="s">
        <v>534</v>
      </c>
      <c r="T9" s="18" t="s">
        <v>102</v>
      </c>
      <c r="U9" s="18" t="s">
        <v>328</v>
      </c>
      <c r="V9" s="18" t="s">
        <v>93</v>
      </c>
      <c r="W9" s="19">
        <v>604057505405000</v>
      </c>
      <c r="X9" s="18" t="s">
        <v>539</v>
      </c>
      <c r="Y9" s="18" t="s">
        <v>97</v>
      </c>
      <c r="Z9" s="19">
        <v>3770373297</v>
      </c>
      <c r="AA9" s="18" t="s">
        <v>339</v>
      </c>
      <c r="AB9" s="18" t="s">
        <v>528</v>
      </c>
      <c r="AC9" s="18" t="s">
        <v>476</v>
      </c>
      <c r="AD9" s="18" t="s">
        <v>105</v>
      </c>
      <c r="AE9" s="18" t="s">
        <v>116</v>
      </c>
      <c r="AF9" s="47">
        <v>46202</v>
      </c>
      <c r="AG9" s="31" t="s">
        <v>500</v>
      </c>
      <c r="AH9" s="48"/>
      <c r="AI9" s="30"/>
      <c r="AJ9" s="30"/>
      <c r="AK9" s="30"/>
      <c r="AL9" s="32" t="s">
        <v>546</v>
      </c>
      <c r="AM9" s="43" t="s">
        <v>547</v>
      </c>
      <c r="AN9" s="43" t="s">
        <v>548</v>
      </c>
      <c r="AO9" s="43" t="s">
        <v>550</v>
      </c>
      <c r="AP9" s="43" t="s">
        <v>552</v>
      </c>
      <c r="AQ9" s="43" t="s">
        <v>553</v>
      </c>
      <c r="AR9" s="18" t="s">
        <v>349</v>
      </c>
      <c r="AS9" s="18" t="s">
        <v>191</v>
      </c>
      <c r="AT9" s="44" t="s">
        <v>59</v>
      </c>
      <c r="AU9" s="18"/>
    </row>
    <row r="10" spans="1:47" ht="15.75" customHeight="1" x14ac:dyDescent="0.3">
      <c r="A10" s="19">
        <v>19962</v>
      </c>
      <c r="B10" s="18" t="s">
        <v>57</v>
      </c>
      <c r="C10" s="22" t="s">
        <v>66</v>
      </c>
      <c r="D10" s="18" t="s">
        <v>58</v>
      </c>
      <c r="E10" s="18" t="s">
        <v>562</v>
      </c>
      <c r="F10" s="23" t="s">
        <v>564</v>
      </c>
      <c r="G10" s="18" t="s">
        <v>438</v>
      </c>
      <c r="H10" s="22">
        <v>34765</v>
      </c>
      <c r="I10" s="18" t="s">
        <v>567</v>
      </c>
      <c r="J10" s="23" t="s">
        <v>569</v>
      </c>
      <c r="K10" s="18" t="s">
        <v>570</v>
      </c>
      <c r="L10" s="18" t="s">
        <v>179</v>
      </c>
      <c r="M10" s="18" t="s">
        <v>72</v>
      </c>
      <c r="N10" s="18" t="s">
        <v>405</v>
      </c>
      <c r="O10" s="18" t="s">
        <v>74</v>
      </c>
      <c r="P10" s="19">
        <v>0</v>
      </c>
      <c r="Q10" s="23" t="s">
        <v>576</v>
      </c>
      <c r="R10" s="18" t="s">
        <v>578</v>
      </c>
      <c r="S10" s="18" t="s">
        <v>581</v>
      </c>
      <c r="T10" s="18" t="s">
        <v>102</v>
      </c>
      <c r="U10" s="18" t="s">
        <v>452</v>
      </c>
      <c r="V10" s="18" t="s">
        <v>93</v>
      </c>
      <c r="W10" s="19">
        <v>0</v>
      </c>
      <c r="X10" s="18">
        <v>0</v>
      </c>
      <c r="Y10" s="18" t="s">
        <v>97</v>
      </c>
      <c r="Z10" s="19">
        <v>2992340577</v>
      </c>
      <c r="AA10" s="18" t="s">
        <v>562</v>
      </c>
      <c r="AB10" s="18" t="s">
        <v>588</v>
      </c>
      <c r="AC10" s="18" t="s">
        <v>438</v>
      </c>
      <c r="AD10" s="18" t="s">
        <v>105</v>
      </c>
      <c r="AE10" s="18" t="s">
        <v>116</v>
      </c>
      <c r="AF10" s="47">
        <v>46201</v>
      </c>
      <c r="AG10" s="31" t="s">
        <v>500</v>
      </c>
      <c r="AH10" s="30"/>
      <c r="AI10" s="30"/>
      <c r="AJ10" s="30"/>
      <c r="AK10" s="30"/>
      <c r="AL10" s="32" t="s">
        <v>595</v>
      </c>
      <c r="AM10" s="43" t="s">
        <v>597</v>
      </c>
      <c r="AN10" s="43" t="s">
        <v>600</v>
      </c>
      <c r="AO10" s="43" t="s">
        <v>602</v>
      </c>
      <c r="AP10" s="43" t="s">
        <v>603</v>
      </c>
      <c r="AQ10" s="43" t="s">
        <v>604</v>
      </c>
      <c r="AR10" s="18" t="s">
        <v>606</v>
      </c>
      <c r="AS10" s="18" t="s">
        <v>191</v>
      </c>
      <c r="AT10" s="44" t="s">
        <v>59</v>
      </c>
      <c r="AU10" s="18"/>
    </row>
    <row r="11" spans="1:47" ht="15.75" customHeight="1" x14ac:dyDescent="0.3">
      <c r="A11" s="19">
        <v>19963</v>
      </c>
      <c r="B11" s="18" t="s">
        <v>57</v>
      </c>
      <c r="C11" s="22" t="s">
        <v>66</v>
      </c>
      <c r="D11" s="18" t="s">
        <v>58</v>
      </c>
      <c r="E11" s="18" t="s">
        <v>610</v>
      </c>
      <c r="F11" s="23" t="s">
        <v>611</v>
      </c>
      <c r="G11" s="18" t="s">
        <v>438</v>
      </c>
      <c r="H11" s="22">
        <v>36918</v>
      </c>
      <c r="I11" s="18" t="s">
        <v>612</v>
      </c>
      <c r="J11" s="23" t="s">
        <v>614</v>
      </c>
      <c r="K11" s="18" t="s">
        <v>617</v>
      </c>
      <c r="L11" s="18" t="s">
        <v>85</v>
      </c>
      <c r="M11" s="18" t="s">
        <v>72</v>
      </c>
      <c r="N11" s="18" t="s">
        <v>620</v>
      </c>
      <c r="O11" s="18" t="s">
        <v>74</v>
      </c>
      <c r="P11" s="19">
        <v>0</v>
      </c>
      <c r="Q11" s="23" t="s">
        <v>622</v>
      </c>
      <c r="R11" s="18" t="s">
        <v>624</v>
      </c>
      <c r="S11" s="52" t="s">
        <v>626</v>
      </c>
      <c r="T11" s="18" t="s">
        <v>102</v>
      </c>
      <c r="U11" s="18" t="s">
        <v>452</v>
      </c>
      <c r="V11" s="18" t="s">
        <v>93</v>
      </c>
      <c r="W11" s="19">
        <v>0</v>
      </c>
      <c r="X11" s="18">
        <v>0</v>
      </c>
      <c r="Y11" s="18" t="s">
        <v>97</v>
      </c>
      <c r="Z11" s="19">
        <v>2991121678</v>
      </c>
      <c r="AA11" s="18" t="s">
        <v>610</v>
      </c>
      <c r="AB11" s="18" t="s">
        <v>617</v>
      </c>
      <c r="AC11" s="18" t="s">
        <v>438</v>
      </c>
      <c r="AD11" s="18" t="s">
        <v>105</v>
      </c>
      <c r="AE11" s="18" t="s">
        <v>116</v>
      </c>
      <c r="AF11" s="47">
        <v>46201</v>
      </c>
      <c r="AG11" s="31" t="s">
        <v>500</v>
      </c>
      <c r="AH11" s="53"/>
      <c r="AI11" s="30"/>
      <c r="AJ11" s="30"/>
      <c r="AK11" s="30"/>
      <c r="AL11" s="54" t="s">
        <v>639</v>
      </c>
      <c r="AM11" s="43" t="s">
        <v>641</v>
      </c>
      <c r="AN11" s="43" t="s">
        <v>642</v>
      </c>
      <c r="AO11" s="43" t="s">
        <v>643</v>
      </c>
      <c r="AP11" s="43" t="s">
        <v>645</v>
      </c>
      <c r="AQ11" s="43" t="s">
        <v>647</v>
      </c>
      <c r="AR11" s="18" t="s">
        <v>606</v>
      </c>
      <c r="AS11" s="18" t="s">
        <v>191</v>
      </c>
      <c r="AT11" s="44" t="s">
        <v>59</v>
      </c>
      <c r="AU11" s="18"/>
    </row>
    <row r="12" spans="1:47" ht="15.75" customHeight="1" x14ac:dyDescent="0.3">
      <c r="A12" s="19">
        <v>20050</v>
      </c>
      <c r="B12" s="18" t="s">
        <v>57</v>
      </c>
      <c r="C12" s="22">
        <v>46178</v>
      </c>
      <c r="D12" s="18" t="s">
        <v>58</v>
      </c>
      <c r="E12" s="18" t="s">
        <v>652</v>
      </c>
      <c r="F12" s="23" t="s">
        <v>653</v>
      </c>
      <c r="G12" s="18" t="s">
        <v>225</v>
      </c>
      <c r="H12" s="22">
        <v>38557</v>
      </c>
      <c r="I12" s="55" t="s">
        <v>655</v>
      </c>
      <c r="J12" s="23" t="s">
        <v>688</v>
      </c>
      <c r="K12" s="18" t="s">
        <v>689</v>
      </c>
      <c r="L12" s="18" t="s">
        <v>141</v>
      </c>
      <c r="M12" s="18" t="s">
        <v>72</v>
      </c>
      <c r="N12" s="18" t="s">
        <v>73</v>
      </c>
      <c r="O12" s="18" t="s">
        <v>182</v>
      </c>
      <c r="P12" s="25" t="s">
        <v>694</v>
      </c>
      <c r="Q12" s="23" t="s">
        <v>696</v>
      </c>
      <c r="R12" s="18" t="s">
        <v>699</v>
      </c>
      <c r="S12" s="24" t="s">
        <v>703</v>
      </c>
      <c r="T12" s="18" t="s">
        <v>102</v>
      </c>
      <c r="U12" s="18" t="s">
        <v>286</v>
      </c>
      <c r="V12" s="18" t="s">
        <v>93</v>
      </c>
      <c r="W12" s="25" t="s">
        <v>707</v>
      </c>
      <c r="X12" s="18" t="s">
        <v>652</v>
      </c>
      <c r="Y12" s="18" t="s">
        <v>97</v>
      </c>
      <c r="Z12" s="19">
        <v>4461226021</v>
      </c>
      <c r="AA12" s="18" t="s">
        <v>652</v>
      </c>
      <c r="AB12" s="18" t="s">
        <v>710</v>
      </c>
      <c r="AC12" s="18" t="s">
        <v>225</v>
      </c>
      <c r="AD12" s="18" t="s">
        <v>105</v>
      </c>
      <c r="AE12" s="18" t="s">
        <v>116</v>
      </c>
      <c r="AF12" s="47">
        <v>46218</v>
      </c>
      <c r="AG12" s="18" t="s">
        <v>711</v>
      </c>
      <c r="AH12" s="31" t="s">
        <v>713</v>
      </c>
      <c r="AI12" s="30"/>
      <c r="AJ12" s="30"/>
      <c r="AK12" s="30"/>
      <c r="AL12" s="32" t="s">
        <v>717</v>
      </c>
      <c r="AM12" s="43" t="s">
        <v>720</v>
      </c>
      <c r="AN12" s="43" t="s">
        <v>722</v>
      </c>
      <c r="AO12" s="43" t="s">
        <v>723</v>
      </c>
      <c r="AP12" s="43" t="s">
        <v>726</v>
      </c>
      <c r="AQ12" s="43" t="s">
        <v>727</v>
      </c>
      <c r="AR12" s="18" t="s">
        <v>728</v>
      </c>
      <c r="AS12" s="18" t="s">
        <v>191</v>
      </c>
      <c r="AT12" s="44" t="s">
        <v>59</v>
      </c>
      <c r="AU12" s="18"/>
    </row>
    <row r="13" spans="1:47" ht="15.75" customHeight="1" x14ac:dyDescent="0.3">
      <c r="A13" s="19">
        <v>20051</v>
      </c>
      <c r="B13" s="18" t="s">
        <v>57</v>
      </c>
      <c r="C13" s="22">
        <v>46178</v>
      </c>
      <c r="D13" s="18" t="s">
        <v>58</v>
      </c>
      <c r="E13" s="18" t="s">
        <v>734</v>
      </c>
      <c r="F13" s="23" t="s">
        <v>736</v>
      </c>
      <c r="G13" s="18" t="s">
        <v>225</v>
      </c>
      <c r="H13" s="22">
        <v>39526</v>
      </c>
      <c r="I13" s="18" t="s">
        <v>739</v>
      </c>
      <c r="J13" s="23" t="s">
        <v>741</v>
      </c>
      <c r="K13" s="18" t="s">
        <v>743</v>
      </c>
      <c r="L13" s="18" t="s">
        <v>141</v>
      </c>
      <c r="M13" s="18" t="s">
        <v>72</v>
      </c>
      <c r="N13" s="18" t="s">
        <v>745</v>
      </c>
      <c r="O13" s="18" t="s">
        <v>182</v>
      </c>
      <c r="P13" s="25" t="s">
        <v>694</v>
      </c>
      <c r="Q13" s="23" t="s">
        <v>747</v>
      </c>
      <c r="R13" s="18" t="s">
        <v>748</v>
      </c>
      <c r="S13" s="18" t="s">
        <v>750</v>
      </c>
      <c r="T13" s="18" t="s">
        <v>102</v>
      </c>
      <c r="U13" s="18" t="s">
        <v>286</v>
      </c>
      <c r="V13" s="18" t="s">
        <v>93</v>
      </c>
      <c r="W13" s="19">
        <v>0</v>
      </c>
      <c r="X13" s="18">
        <v>0</v>
      </c>
      <c r="Y13" s="18" t="s">
        <v>97</v>
      </c>
      <c r="Z13" s="19">
        <v>4461611464</v>
      </c>
      <c r="AA13" s="18" t="s">
        <v>734</v>
      </c>
      <c r="AB13" s="18" t="s">
        <v>225</v>
      </c>
      <c r="AC13" s="18" t="s">
        <v>102</v>
      </c>
      <c r="AD13" s="18" t="s">
        <v>105</v>
      </c>
      <c r="AE13" s="18" t="s">
        <v>116</v>
      </c>
      <c r="AF13" s="47">
        <v>46218</v>
      </c>
      <c r="AG13" s="18" t="s">
        <v>711</v>
      </c>
      <c r="AH13" s="29"/>
      <c r="AI13" s="30"/>
      <c r="AJ13" s="30"/>
      <c r="AK13" s="30"/>
      <c r="AL13" s="32" t="s">
        <v>763</v>
      </c>
      <c r="AM13" s="43" t="s">
        <v>764</v>
      </c>
      <c r="AN13" s="43" t="s">
        <v>766</v>
      </c>
      <c r="AO13" s="43" t="s">
        <v>767</v>
      </c>
      <c r="AP13" s="43" t="s">
        <v>768</v>
      </c>
      <c r="AQ13" s="43" t="s">
        <v>769</v>
      </c>
      <c r="AR13" s="18" t="s">
        <v>728</v>
      </c>
      <c r="AS13" s="18" t="s">
        <v>191</v>
      </c>
      <c r="AT13" s="44" t="s">
        <v>59</v>
      </c>
      <c r="AU13" s="18"/>
    </row>
    <row r="14" spans="1:47" ht="15.75" customHeight="1" x14ac:dyDescent="0.3">
      <c r="A14" s="19">
        <v>20413</v>
      </c>
      <c r="B14" s="18" t="s">
        <v>57</v>
      </c>
      <c r="C14" s="22">
        <v>46220</v>
      </c>
      <c r="D14" s="18" t="s">
        <v>58</v>
      </c>
      <c r="E14" s="18" t="s">
        <v>713</v>
      </c>
      <c r="F14" s="25" t="s">
        <v>775</v>
      </c>
      <c r="G14" s="18" t="s">
        <v>225</v>
      </c>
      <c r="H14" s="22">
        <v>39037</v>
      </c>
      <c r="I14" s="18" t="s">
        <v>778</v>
      </c>
      <c r="J14" s="25" t="s">
        <v>780</v>
      </c>
      <c r="K14" s="18" t="s">
        <v>782</v>
      </c>
      <c r="L14" s="18" t="s">
        <v>234</v>
      </c>
      <c r="M14" s="18" t="s">
        <v>72</v>
      </c>
      <c r="N14" s="18" t="s">
        <v>785</v>
      </c>
      <c r="O14" s="18" t="s">
        <v>74</v>
      </c>
      <c r="P14" s="19">
        <v>0</v>
      </c>
      <c r="Q14" s="25" t="s">
        <v>787</v>
      </c>
      <c r="R14" s="18" t="s">
        <v>788</v>
      </c>
      <c r="S14" s="24" t="s">
        <v>789</v>
      </c>
      <c r="T14" s="18" t="s">
        <v>102</v>
      </c>
      <c r="U14" s="18" t="s">
        <v>286</v>
      </c>
      <c r="V14" s="18" t="s">
        <v>93</v>
      </c>
      <c r="W14" s="19">
        <v>0</v>
      </c>
      <c r="X14" s="18">
        <v>0</v>
      </c>
      <c r="Y14" s="18" t="s">
        <v>229</v>
      </c>
      <c r="Z14" s="19">
        <v>1770024370378</v>
      </c>
      <c r="AA14" s="18" t="s">
        <v>713</v>
      </c>
      <c r="AB14" s="18" t="s">
        <v>793</v>
      </c>
      <c r="AC14" s="18" t="s">
        <v>225</v>
      </c>
      <c r="AD14" s="18" t="s">
        <v>105</v>
      </c>
      <c r="AE14" s="18" t="s">
        <v>116</v>
      </c>
      <c r="AF14" s="47">
        <v>46225</v>
      </c>
      <c r="AG14" s="18" t="s">
        <v>798</v>
      </c>
      <c r="AH14" s="29"/>
      <c r="AI14" s="30"/>
      <c r="AJ14" s="30"/>
      <c r="AK14" s="30"/>
      <c r="AL14" s="32" t="s">
        <v>801</v>
      </c>
      <c r="AM14" s="43" t="s">
        <v>824</v>
      </c>
      <c r="AN14" s="43" t="s">
        <v>839</v>
      </c>
      <c r="AO14" s="43" t="s">
        <v>841</v>
      </c>
      <c r="AP14" s="43" t="s">
        <v>843</v>
      </c>
      <c r="AQ14" s="43" t="s">
        <v>845</v>
      </c>
      <c r="AR14" s="18" t="s">
        <v>846</v>
      </c>
      <c r="AS14" s="18" t="s">
        <v>191</v>
      </c>
      <c r="AT14" s="44" t="s">
        <v>59</v>
      </c>
      <c r="AU14" s="18"/>
    </row>
    <row r="15" spans="1:47" ht="15.75" customHeight="1" x14ac:dyDescent="0.3">
      <c r="A15" s="60">
        <v>20175</v>
      </c>
      <c r="B15" s="18" t="s">
        <v>57</v>
      </c>
      <c r="C15" s="61">
        <v>46192</v>
      </c>
      <c r="D15" s="18" t="s">
        <v>58</v>
      </c>
      <c r="E15" s="31" t="s">
        <v>855</v>
      </c>
      <c r="F15" s="62" t="s">
        <v>856</v>
      </c>
      <c r="G15" s="31" t="s">
        <v>858</v>
      </c>
      <c r="H15" s="61">
        <v>35967</v>
      </c>
      <c r="I15" s="31" t="s">
        <v>859</v>
      </c>
      <c r="J15" s="62" t="s">
        <v>860</v>
      </c>
      <c r="K15" s="31" t="s">
        <v>861</v>
      </c>
      <c r="L15" s="31" t="s">
        <v>141</v>
      </c>
      <c r="M15" s="31" t="s">
        <v>72</v>
      </c>
      <c r="N15" s="31" t="s">
        <v>864</v>
      </c>
      <c r="O15" s="31" t="s">
        <v>182</v>
      </c>
      <c r="P15" s="25" t="s">
        <v>694</v>
      </c>
      <c r="Q15" s="62" t="s">
        <v>868</v>
      </c>
      <c r="R15" s="31" t="s">
        <v>485</v>
      </c>
      <c r="S15" s="63" t="s">
        <v>871</v>
      </c>
      <c r="T15" s="31" t="s">
        <v>102</v>
      </c>
      <c r="U15" s="31" t="s">
        <v>873</v>
      </c>
      <c r="V15" s="31" t="s">
        <v>93</v>
      </c>
      <c r="W15" s="64" t="s">
        <v>876</v>
      </c>
      <c r="X15" s="31" t="s">
        <v>855</v>
      </c>
      <c r="Y15" s="31" t="s">
        <v>480</v>
      </c>
      <c r="Z15" s="60">
        <v>1998062168</v>
      </c>
      <c r="AA15" s="31" t="s">
        <v>855</v>
      </c>
      <c r="AB15" s="31" t="s">
        <v>861</v>
      </c>
      <c r="AC15" s="31" t="s">
        <v>858</v>
      </c>
      <c r="AD15" s="31" t="s">
        <v>105</v>
      </c>
      <c r="AE15" s="18" t="s">
        <v>116</v>
      </c>
      <c r="AF15" s="47">
        <v>46225</v>
      </c>
      <c r="AG15" s="31" t="s">
        <v>500</v>
      </c>
      <c r="AH15" s="30"/>
      <c r="AI15" s="30"/>
      <c r="AJ15" s="30"/>
      <c r="AK15" s="30"/>
      <c r="AL15" s="43" t="s">
        <v>886</v>
      </c>
      <c r="AM15" s="43" t="s">
        <v>903</v>
      </c>
      <c r="AN15" s="43" t="s">
        <v>905</v>
      </c>
      <c r="AO15" s="43" t="s">
        <v>906</v>
      </c>
      <c r="AP15" s="43" t="s">
        <v>908</v>
      </c>
      <c r="AQ15" s="43" t="s">
        <v>909</v>
      </c>
      <c r="AR15" s="31" t="s">
        <v>910</v>
      </c>
      <c r="AS15" s="31" t="s">
        <v>191</v>
      </c>
      <c r="AT15" s="44" t="s">
        <v>59</v>
      </c>
      <c r="AU15" s="18"/>
    </row>
    <row r="16" spans="1:47" ht="15.75" customHeight="1" x14ac:dyDescent="0.3">
      <c r="A16" s="60">
        <v>20176</v>
      </c>
      <c r="B16" s="18" t="s">
        <v>57</v>
      </c>
      <c r="C16" s="61">
        <v>46192</v>
      </c>
      <c r="D16" s="18" t="s">
        <v>58</v>
      </c>
      <c r="E16" s="31" t="s">
        <v>913</v>
      </c>
      <c r="F16" s="62" t="s">
        <v>914</v>
      </c>
      <c r="G16" s="31" t="s">
        <v>858</v>
      </c>
      <c r="H16" s="61" t="s">
        <v>917</v>
      </c>
      <c r="I16" s="31" t="s">
        <v>919</v>
      </c>
      <c r="J16" s="62" t="s">
        <v>921</v>
      </c>
      <c r="K16" s="31" t="s">
        <v>923</v>
      </c>
      <c r="L16" s="31" t="s">
        <v>179</v>
      </c>
      <c r="M16" s="31" t="s">
        <v>72</v>
      </c>
      <c r="N16" s="31" t="s">
        <v>926</v>
      </c>
      <c r="O16" s="31" t="s">
        <v>182</v>
      </c>
      <c r="P16" s="25" t="s">
        <v>694</v>
      </c>
      <c r="Q16" s="62" t="s">
        <v>928</v>
      </c>
      <c r="R16" s="31" t="s">
        <v>929</v>
      </c>
      <c r="S16" s="31" t="s">
        <v>930</v>
      </c>
      <c r="T16" s="31" t="s">
        <v>102</v>
      </c>
      <c r="U16" s="31" t="s">
        <v>873</v>
      </c>
      <c r="V16" s="31" t="s">
        <v>93</v>
      </c>
      <c r="W16" s="60">
        <v>719201675446000</v>
      </c>
      <c r="X16" s="31" t="s">
        <v>913</v>
      </c>
      <c r="Y16" s="31" t="s">
        <v>97</v>
      </c>
      <c r="Z16" s="60">
        <v>7741069125</v>
      </c>
      <c r="AA16" s="31" t="s">
        <v>913</v>
      </c>
      <c r="AB16" s="31" t="s">
        <v>923</v>
      </c>
      <c r="AC16" s="31" t="s">
        <v>858</v>
      </c>
      <c r="AD16" s="31" t="s">
        <v>105</v>
      </c>
      <c r="AE16" s="18" t="s">
        <v>116</v>
      </c>
      <c r="AF16" s="47">
        <v>46225</v>
      </c>
      <c r="AG16" s="31" t="s">
        <v>500</v>
      </c>
      <c r="AH16" s="30"/>
      <c r="AI16" s="30"/>
      <c r="AJ16" s="30"/>
      <c r="AK16" s="30"/>
      <c r="AL16" s="43" t="s">
        <v>939</v>
      </c>
      <c r="AM16" s="43" t="s">
        <v>956</v>
      </c>
      <c r="AN16" s="43" t="s">
        <v>957</v>
      </c>
      <c r="AO16" s="43" t="s">
        <v>959</v>
      </c>
      <c r="AP16" s="43" t="s">
        <v>962</v>
      </c>
      <c r="AQ16" s="43" t="s">
        <v>963</v>
      </c>
      <c r="AR16" s="31" t="s">
        <v>910</v>
      </c>
      <c r="AS16" s="31" t="s">
        <v>191</v>
      </c>
      <c r="AT16" s="44" t="s">
        <v>59</v>
      </c>
      <c r="AU16" s="18"/>
    </row>
    <row r="17" spans="1:47" ht="15.75" customHeight="1" x14ac:dyDescent="0.3">
      <c r="A17" s="19">
        <v>20222</v>
      </c>
      <c r="B17" s="18" t="s">
        <v>56</v>
      </c>
      <c r="C17" s="22">
        <v>46206</v>
      </c>
      <c r="D17" s="18" t="s">
        <v>58</v>
      </c>
      <c r="E17" s="18" t="s">
        <v>964</v>
      </c>
      <c r="F17" s="25" t="s">
        <v>965</v>
      </c>
      <c r="G17" s="18" t="s">
        <v>171</v>
      </c>
      <c r="H17" s="22">
        <v>35741</v>
      </c>
      <c r="I17" s="18" t="s">
        <v>968</v>
      </c>
      <c r="J17" s="25" t="s">
        <v>970</v>
      </c>
      <c r="K17" s="18" t="s">
        <v>972</v>
      </c>
      <c r="L17" s="18" t="s">
        <v>85</v>
      </c>
      <c r="M17" s="18" t="s">
        <v>72</v>
      </c>
      <c r="N17" s="18" t="s">
        <v>976</v>
      </c>
      <c r="O17" s="18" t="s">
        <v>74</v>
      </c>
      <c r="P17" s="25" t="s">
        <v>965</v>
      </c>
      <c r="Q17" s="25" t="s">
        <v>978</v>
      </c>
      <c r="R17" s="18" t="s">
        <v>979</v>
      </c>
      <c r="S17" s="65" t="s">
        <v>982</v>
      </c>
      <c r="T17" s="18" t="s">
        <v>90</v>
      </c>
      <c r="U17" s="18" t="s">
        <v>146</v>
      </c>
      <c r="V17" s="18" t="s">
        <v>93</v>
      </c>
      <c r="W17" s="25" t="s">
        <v>965</v>
      </c>
      <c r="X17" s="18" t="s">
        <v>964</v>
      </c>
      <c r="Y17" s="18" t="s">
        <v>439</v>
      </c>
      <c r="Z17" s="19">
        <v>798201013297530</v>
      </c>
      <c r="AA17" s="18" t="s">
        <v>964</v>
      </c>
      <c r="AB17" s="18" t="s">
        <v>972</v>
      </c>
      <c r="AC17" s="18" t="s">
        <v>136</v>
      </c>
      <c r="AD17" s="18" t="s">
        <v>105</v>
      </c>
      <c r="AE17" s="18" t="s">
        <v>116</v>
      </c>
      <c r="AF17" s="47">
        <v>46229</v>
      </c>
      <c r="AG17" s="31" t="s">
        <v>500</v>
      </c>
      <c r="AH17" s="66"/>
      <c r="AI17" s="43">
        <v>0</v>
      </c>
      <c r="AJ17" s="67">
        <v>2135653751</v>
      </c>
      <c r="AK17" s="43" t="s">
        <v>1000</v>
      </c>
      <c r="AL17" s="66" t="s">
        <v>1001</v>
      </c>
      <c r="AM17" s="43" t="s">
        <v>1000</v>
      </c>
      <c r="AN17" s="43" t="s">
        <v>1003</v>
      </c>
      <c r="AO17" s="43" t="s">
        <v>1005</v>
      </c>
      <c r="AP17" s="43" t="s">
        <v>1007</v>
      </c>
      <c r="AQ17" s="43" t="s">
        <v>1009</v>
      </c>
      <c r="AR17" s="18" t="s">
        <v>1011</v>
      </c>
      <c r="AS17" s="18" t="s">
        <v>191</v>
      </c>
      <c r="AT17" s="44" t="s">
        <v>227</v>
      </c>
      <c r="AU17" s="18"/>
    </row>
    <row r="18" spans="1:47" ht="15.75" customHeight="1" x14ac:dyDescent="0.3">
      <c r="A18" s="19">
        <v>20040</v>
      </c>
      <c r="B18" s="18" t="s">
        <v>57</v>
      </c>
      <c r="C18" s="22">
        <v>46178</v>
      </c>
      <c r="D18" s="18" t="s">
        <v>58</v>
      </c>
      <c r="E18" s="18" t="s">
        <v>1018</v>
      </c>
      <c r="F18" s="23" t="s">
        <v>1019</v>
      </c>
      <c r="G18" s="18" t="s">
        <v>63</v>
      </c>
      <c r="H18" s="22">
        <v>34665</v>
      </c>
      <c r="I18" s="18" t="s">
        <v>1021</v>
      </c>
      <c r="J18" s="23" t="s">
        <v>1023</v>
      </c>
      <c r="K18" s="18" t="s">
        <v>1025</v>
      </c>
      <c r="L18" s="18" t="s">
        <v>234</v>
      </c>
      <c r="M18" s="18" t="s">
        <v>72</v>
      </c>
      <c r="N18" s="18" t="s">
        <v>1026</v>
      </c>
      <c r="O18" s="18" t="s">
        <v>182</v>
      </c>
      <c r="P18" s="19">
        <v>0</v>
      </c>
      <c r="Q18" s="23" t="s">
        <v>1028</v>
      </c>
      <c r="R18" s="18" t="s">
        <v>1030</v>
      </c>
      <c r="S18" s="18" t="s">
        <v>1032</v>
      </c>
      <c r="T18" s="18" t="s">
        <v>102</v>
      </c>
      <c r="U18" s="18" t="s">
        <v>112</v>
      </c>
      <c r="V18" s="18" t="s">
        <v>93</v>
      </c>
      <c r="W18" s="19">
        <v>0</v>
      </c>
      <c r="X18" s="18">
        <v>0</v>
      </c>
      <c r="Y18" s="18" t="s">
        <v>229</v>
      </c>
      <c r="Z18" s="19">
        <v>1770022483553</v>
      </c>
      <c r="AA18" s="18" t="s">
        <v>1018</v>
      </c>
      <c r="AB18" s="18" t="s">
        <v>1025</v>
      </c>
      <c r="AC18" s="18" t="s">
        <v>63</v>
      </c>
      <c r="AD18" s="18" t="s">
        <v>105</v>
      </c>
      <c r="AE18" s="18" t="s">
        <v>116</v>
      </c>
      <c r="AF18" s="47">
        <v>46229</v>
      </c>
      <c r="AG18" s="31" t="s">
        <v>500</v>
      </c>
      <c r="AH18" s="29"/>
      <c r="AI18" s="43">
        <v>0</v>
      </c>
      <c r="AJ18" s="67">
        <v>0</v>
      </c>
      <c r="AK18" s="43" t="s">
        <v>1040</v>
      </c>
      <c r="AL18" s="32" t="s">
        <v>1042</v>
      </c>
      <c r="AM18" s="43" t="s">
        <v>1040</v>
      </c>
      <c r="AN18" s="43" t="s">
        <v>1045</v>
      </c>
      <c r="AO18" s="43" t="s">
        <v>1046</v>
      </c>
      <c r="AP18" s="43" t="s">
        <v>1047</v>
      </c>
      <c r="AQ18" s="43" t="s">
        <v>1048</v>
      </c>
      <c r="AR18" s="18" t="s">
        <v>1051</v>
      </c>
      <c r="AS18" s="18" t="s">
        <v>191</v>
      </c>
      <c r="AT18" s="44" t="s">
        <v>59</v>
      </c>
      <c r="AU18" s="18"/>
    </row>
    <row r="19" spans="1:47" ht="15.75" customHeight="1" x14ac:dyDescent="0.3">
      <c r="A19" s="19">
        <v>20060</v>
      </c>
      <c r="B19" s="18" t="s">
        <v>57</v>
      </c>
      <c r="C19" s="22">
        <v>46178</v>
      </c>
      <c r="D19" s="18" t="s">
        <v>58</v>
      </c>
      <c r="E19" s="18" t="s">
        <v>1055</v>
      </c>
      <c r="F19" s="23" t="s">
        <v>1056</v>
      </c>
      <c r="G19" s="18" t="s">
        <v>76</v>
      </c>
      <c r="H19" s="22">
        <v>35324</v>
      </c>
      <c r="I19" s="18" t="s">
        <v>1057</v>
      </c>
      <c r="J19" s="23" t="s">
        <v>1058</v>
      </c>
      <c r="K19" s="18" t="s">
        <v>1060</v>
      </c>
      <c r="L19" s="18" t="s">
        <v>85</v>
      </c>
      <c r="M19" s="18" t="s">
        <v>72</v>
      </c>
      <c r="N19" s="18" t="s">
        <v>316</v>
      </c>
      <c r="O19" s="18" t="s">
        <v>74</v>
      </c>
      <c r="P19" s="25" t="s">
        <v>1056</v>
      </c>
      <c r="Q19" s="23" t="s">
        <v>1066</v>
      </c>
      <c r="R19" s="18" t="s">
        <v>1068</v>
      </c>
      <c r="S19" s="24" t="e">
        <f>-SPG SMARTFREN
-SPG XL
-SPG POISE
-SPG WATCHOUT
-SPG OSELLA</f>
        <v>#NAME?</v>
      </c>
      <c r="T19" s="18" t="s">
        <v>102</v>
      </c>
      <c r="U19" s="18" t="s">
        <v>112</v>
      </c>
      <c r="V19" s="18" t="s">
        <v>93</v>
      </c>
      <c r="W19" s="25" t="s">
        <v>1085</v>
      </c>
      <c r="X19" s="18" t="s">
        <v>248</v>
      </c>
      <c r="Y19" s="18" t="s">
        <v>229</v>
      </c>
      <c r="Z19" s="19">
        <v>1770025719391</v>
      </c>
      <c r="AA19" s="18" t="s">
        <v>1055</v>
      </c>
      <c r="AB19" s="18" t="s">
        <v>1060</v>
      </c>
      <c r="AC19" s="18" t="s">
        <v>63</v>
      </c>
      <c r="AD19" s="18" t="s">
        <v>105</v>
      </c>
      <c r="AE19" s="18" t="s">
        <v>116</v>
      </c>
      <c r="AF19" s="47">
        <v>46229</v>
      </c>
      <c r="AG19" s="31" t="s">
        <v>500</v>
      </c>
      <c r="AH19" s="29"/>
      <c r="AI19" s="43">
        <v>0</v>
      </c>
      <c r="AJ19" s="67">
        <v>2932901379</v>
      </c>
      <c r="AK19" s="43" t="s">
        <v>1094</v>
      </c>
      <c r="AL19" s="32" t="s">
        <v>1096</v>
      </c>
      <c r="AM19" s="43" t="s">
        <v>1098</v>
      </c>
      <c r="AN19" s="43" t="s">
        <v>1099</v>
      </c>
      <c r="AO19" s="43" t="s">
        <v>1100</v>
      </c>
      <c r="AP19" s="43" t="s">
        <v>1101</v>
      </c>
      <c r="AQ19" s="43" t="s">
        <v>1102</v>
      </c>
      <c r="AR19" s="18" t="s">
        <v>1051</v>
      </c>
      <c r="AS19" s="18" t="s">
        <v>191</v>
      </c>
      <c r="AT19" s="44" t="s">
        <v>59</v>
      </c>
      <c r="AU19" s="18"/>
    </row>
    <row r="20" spans="1:47" ht="15.75" customHeight="1" x14ac:dyDescent="0.3">
      <c r="A20" s="19">
        <v>20023</v>
      </c>
      <c r="B20" s="18" t="s">
        <v>57</v>
      </c>
      <c r="C20" s="22">
        <v>46178</v>
      </c>
      <c r="D20" s="18" t="s">
        <v>58</v>
      </c>
      <c r="E20" s="18" t="s">
        <v>1104</v>
      </c>
      <c r="F20" s="23" t="s">
        <v>1105</v>
      </c>
      <c r="G20" s="18" t="s">
        <v>438</v>
      </c>
      <c r="H20" s="22">
        <v>36001</v>
      </c>
      <c r="I20" s="18" t="s">
        <v>1106</v>
      </c>
      <c r="J20" s="23" t="s">
        <v>1107</v>
      </c>
      <c r="K20" s="18" t="s">
        <v>1108</v>
      </c>
      <c r="L20" s="18" t="s">
        <v>85</v>
      </c>
      <c r="M20" s="18" t="s">
        <v>87</v>
      </c>
      <c r="N20" s="18" t="s">
        <v>1109</v>
      </c>
      <c r="O20" s="18" t="s">
        <v>1110</v>
      </c>
      <c r="P20" s="19">
        <v>0</v>
      </c>
      <c r="Q20" s="23" t="s">
        <v>1111</v>
      </c>
      <c r="R20" s="18" t="s">
        <v>1112</v>
      </c>
      <c r="S20" s="18" t="e">
        <f>- MATAHARI DEPARTMENSTOR
- RAMAYANA LESTARI SENTOSA
- PT SAMSUNG ELECTRONIK INDONESIA
- ERAFONE
- PT VIVO MOBILE INDONESIA</f>
        <v>#NAME?</v>
      </c>
      <c r="T20" s="18" t="s">
        <v>102</v>
      </c>
      <c r="U20" s="18" t="s">
        <v>452</v>
      </c>
      <c r="V20" s="18" t="s">
        <v>93</v>
      </c>
      <c r="W20" s="25" t="s">
        <v>1127</v>
      </c>
      <c r="X20" s="18" t="s">
        <v>1104</v>
      </c>
      <c r="Y20" s="18" t="s">
        <v>97</v>
      </c>
      <c r="Z20" s="19">
        <v>2992271192</v>
      </c>
      <c r="AA20" s="18" t="s">
        <v>1104</v>
      </c>
      <c r="AB20" s="18" t="s">
        <v>1131</v>
      </c>
      <c r="AC20" s="18" t="s">
        <v>438</v>
      </c>
      <c r="AD20" s="18" t="s">
        <v>105</v>
      </c>
      <c r="AE20" s="18" t="s">
        <v>116</v>
      </c>
      <c r="AF20" s="47">
        <v>46229</v>
      </c>
      <c r="AG20" s="31" t="s">
        <v>500</v>
      </c>
      <c r="AH20" s="29"/>
      <c r="AI20" s="43">
        <v>0</v>
      </c>
      <c r="AJ20" s="67">
        <v>0</v>
      </c>
      <c r="AK20" s="43" t="s">
        <v>1134</v>
      </c>
      <c r="AL20" s="32" t="s">
        <v>1135</v>
      </c>
      <c r="AM20" s="43" t="s">
        <v>1134</v>
      </c>
      <c r="AN20" s="43" t="s">
        <v>1136</v>
      </c>
      <c r="AO20" s="43" t="s">
        <v>1137</v>
      </c>
      <c r="AP20" s="43" t="s">
        <v>1139</v>
      </c>
      <c r="AQ20" s="43" t="s">
        <v>1141</v>
      </c>
      <c r="AR20" s="18" t="s">
        <v>1143</v>
      </c>
      <c r="AS20" s="18" t="s">
        <v>191</v>
      </c>
      <c r="AT20" s="44" t="s">
        <v>59</v>
      </c>
      <c r="AU20" s="18"/>
    </row>
    <row r="21" spans="1:47" ht="15.75" customHeight="1" x14ac:dyDescent="0.3">
      <c r="A21" s="19">
        <v>20238</v>
      </c>
      <c r="B21" s="18" t="s">
        <v>57</v>
      </c>
      <c r="C21" s="22">
        <v>46213</v>
      </c>
      <c r="D21" s="18" t="s">
        <v>58</v>
      </c>
      <c r="E21" s="18" t="s">
        <v>1148</v>
      </c>
      <c r="F21" s="25" t="s">
        <v>1149</v>
      </c>
      <c r="G21" s="18" t="s">
        <v>438</v>
      </c>
      <c r="H21" s="22" t="s">
        <v>1151</v>
      </c>
      <c r="I21" s="18" t="s">
        <v>1152</v>
      </c>
      <c r="J21" s="25" t="s">
        <v>1153</v>
      </c>
      <c r="K21" s="18" t="s">
        <v>1154</v>
      </c>
      <c r="L21" s="18" t="s">
        <v>70</v>
      </c>
      <c r="M21" s="18" t="s">
        <v>72</v>
      </c>
      <c r="N21" s="18" t="s">
        <v>1157</v>
      </c>
      <c r="O21" s="18" t="s">
        <v>74</v>
      </c>
      <c r="P21" s="25" t="s">
        <v>1160</v>
      </c>
      <c r="Q21" s="25" t="s">
        <v>1163</v>
      </c>
      <c r="R21" s="18" t="s">
        <v>1166</v>
      </c>
      <c r="S21" s="24" t="s">
        <v>1167</v>
      </c>
      <c r="T21" s="18" t="s">
        <v>102</v>
      </c>
      <c r="U21" s="18" t="s">
        <v>452</v>
      </c>
      <c r="V21" s="18" t="s">
        <v>93</v>
      </c>
      <c r="W21" s="19">
        <v>0</v>
      </c>
      <c r="X21" s="18">
        <v>0</v>
      </c>
      <c r="Y21" s="18" t="s">
        <v>229</v>
      </c>
      <c r="Z21" s="19">
        <v>1340031771339</v>
      </c>
      <c r="AA21" s="18" t="s">
        <v>1148</v>
      </c>
      <c r="AB21" s="18" t="s">
        <v>1170</v>
      </c>
      <c r="AC21" s="18" t="s">
        <v>1172</v>
      </c>
      <c r="AD21" s="18" t="s">
        <v>105</v>
      </c>
      <c r="AE21" s="18" t="s">
        <v>116</v>
      </c>
      <c r="AF21" s="47">
        <v>46229</v>
      </c>
      <c r="AG21" s="31" t="s">
        <v>500</v>
      </c>
      <c r="AH21" s="29"/>
      <c r="AI21" s="43">
        <v>0</v>
      </c>
      <c r="AJ21" s="67">
        <v>0</v>
      </c>
      <c r="AK21" s="43" t="s">
        <v>1174</v>
      </c>
      <c r="AL21" s="29" t="s">
        <v>1176</v>
      </c>
      <c r="AM21" s="43" t="s">
        <v>1174</v>
      </c>
      <c r="AN21" s="43" t="s">
        <v>1179</v>
      </c>
      <c r="AO21" s="43" t="s">
        <v>1181</v>
      </c>
      <c r="AP21" s="43" t="s">
        <v>1183</v>
      </c>
      <c r="AQ21" s="43" t="s">
        <v>1185</v>
      </c>
      <c r="AR21" s="18" t="s">
        <v>1143</v>
      </c>
      <c r="AS21" s="18" t="s">
        <v>191</v>
      </c>
      <c r="AT21" s="44" t="s">
        <v>59</v>
      </c>
      <c r="AU21" s="18"/>
    </row>
    <row r="22" spans="1:47" ht="15.75" customHeight="1" x14ac:dyDescent="0.3">
      <c r="A22" s="19">
        <v>20200</v>
      </c>
      <c r="B22" s="18" t="s">
        <v>57</v>
      </c>
      <c r="C22" s="22">
        <v>46199</v>
      </c>
      <c r="D22" s="18" t="s">
        <v>58</v>
      </c>
      <c r="E22" s="18" t="s">
        <v>1186</v>
      </c>
      <c r="F22" s="25" t="s">
        <v>1189</v>
      </c>
      <c r="G22" s="18" t="s">
        <v>692</v>
      </c>
      <c r="H22" s="22" t="s">
        <v>1191</v>
      </c>
      <c r="I22" s="18" t="s">
        <v>1193</v>
      </c>
      <c r="J22" s="25" t="s">
        <v>1195</v>
      </c>
      <c r="K22" s="18" t="s">
        <v>1196</v>
      </c>
      <c r="L22" s="18" t="s">
        <v>777</v>
      </c>
      <c r="M22" s="18" t="s">
        <v>72</v>
      </c>
      <c r="N22" s="18" t="s">
        <v>1197</v>
      </c>
      <c r="O22" s="18" t="s">
        <v>74</v>
      </c>
      <c r="P22" s="19">
        <v>0</v>
      </c>
      <c r="Q22" s="25" t="s">
        <v>1200</v>
      </c>
      <c r="R22" s="18" t="s">
        <v>1201</v>
      </c>
      <c r="S22" s="18" t="s">
        <v>1202</v>
      </c>
      <c r="T22" s="18" t="s">
        <v>102</v>
      </c>
      <c r="U22" s="18" t="s">
        <v>112</v>
      </c>
      <c r="V22" s="18" t="s">
        <v>93</v>
      </c>
      <c r="W22" s="19">
        <v>0</v>
      </c>
      <c r="X22" s="18">
        <v>0</v>
      </c>
      <c r="Y22" s="18" t="s">
        <v>229</v>
      </c>
      <c r="Z22" s="19">
        <v>1770023330431</v>
      </c>
      <c r="AA22" s="18" t="s">
        <v>1186</v>
      </c>
      <c r="AB22" s="18" t="s">
        <v>1204</v>
      </c>
      <c r="AC22" s="18" t="s">
        <v>1206</v>
      </c>
      <c r="AD22" s="18" t="s">
        <v>105</v>
      </c>
      <c r="AE22" s="65" t="s">
        <v>116</v>
      </c>
      <c r="AF22" s="68">
        <v>46229</v>
      </c>
      <c r="AG22" s="69" t="s">
        <v>500</v>
      </c>
      <c r="AH22" s="29"/>
      <c r="AI22" s="18">
        <v>0</v>
      </c>
      <c r="AJ22" s="19">
        <v>0</v>
      </c>
      <c r="AK22" s="29" t="s">
        <v>1214</v>
      </c>
      <c r="AL22" s="29" t="s">
        <v>1215</v>
      </c>
      <c r="AM22" s="29" t="s">
        <v>1214</v>
      </c>
      <c r="AN22" s="29" t="s">
        <v>1218</v>
      </c>
      <c r="AO22" s="18" t="s">
        <v>1219</v>
      </c>
      <c r="AP22" s="29" t="s">
        <v>1221</v>
      </c>
      <c r="AQ22" s="29" t="s">
        <v>1223</v>
      </c>
      <c r="AR22" s="18" t="s">
        <v>1224</v>
      </c>
      <c r="AS22" s="18" t="s">
        <v>191</v>
      </c>
      <c r="AT22" s="44" t="s">
        <v>59</v>
      </c>
      <c r="AU22" s="18"/>
    </row>
    <row r="23" spans="1:47" ht="15.75" customHeight="1" x14ac:dyDescent="0.3">
      <c r="A23" s="19">
        <v>20201</v>
      </c>
      <c r="B23" s="18" t="s">
        <v>57</v>
      </c>
      <c r="C23" s="22">
        <v>46199</v>
      </c>
      <c r="D23" s="18" t="s">
        <v>58</v>
      </c>
      <c r="E23" s="18" t="s">
        <v>1225</v>
      </c>
      <c r="F23" s="25" t="s">
        <v>1226</v>
      </c>
      <c r="G23" s="18" t="s">
        <v>1228</v>
      </c>
      <c r="H23" s="22" t="s">
        <v>1229</v>
      </c>
      <c r="I23" s="18" t="s">
        <v>1231</v>
      </c>
      <c r="J23" s="25" t="s">
        <v>1232</v>
      </c>
      <c r="K23" s="18" t="s">
        <v>1235</v>
      </c>
      <c r="L23" s="18" t="s">
        <v>777</v>
      </c>
      <c r="M23" s="18" t="s">
        <v>72</v>
      </c>
      <c r="N23" s="18" t="s">
        <v>1238</v>
      </c>
      <c r="O23" s="18" t="s">
        <v>74</v>
      </c>
      <c r="P23" s="19">
        <v>0</v>
      </c>
      <c r="Q23" s="25" t="s">
        <v>1240</v>
      </c>
      <c r="R23" s="18" t="s">
        <v>1241</v>
      </c>
      <c r="S23" s="24" t="s">
        <v>1242</v>
      </c>
      <c r="T23" s="18" t="s">
        <v>102</v>
      </c>
      <c r="U23" s="18" t="s">
        <v>112</v>
      </c>
      <c r="V23" s="18" t="s">
        <v>93</v>
      </c>
      <c r="W23" s="19">
        <v>0</v>
      </c>
      <c r="X23" s="18">
        <v>0</v>
      </c>
      <c r="Y23" s="18" t="s">
        <v>389</v>
      </c>
      <c r="Z23" s="19">
        <v>901421594272</v>
      </c>
      <c r="AA23" s="18" t="s">
        <v>1225</v>
      </c>
      <c r="AB23" s="18" t="s">
        <v>1235</v>
      </c>
      <c r="AC23" s="18" t="s">
        <v>1245</v>
      </c>
      <c r="AD23" s="18" t="s">
        <v>105</v>
      </c>
      <c r="AE23" s="65" t="s">
        <v>116</v>
      </c>
      <c r="AF23" s="68">
        <v>46229</v>
      </c>
      <c r="AG23" s="69" t="s">
        <v>500</v>
      </c>
      <c r="AH23" s="29"/>
      <c r="AI23" s="18">
        <v>0</v>
      </c>
      <c r="AJ23" s="19">
        <v>2198855665</v>
      </c>
      <c r="AK23" s="29" t="s">
        <v>1251</v>
      </c>
      <c r="AL23" s="29" t="s">
        <v>1252</v>
      </c>
      <c r="AM23" s="29" t="s">
        <v>1251</v>
      </c>
      <c r="AN23" s="29" t="s">
        <v>1253</v>
      </c>
      <c r="AO23" s="18" t="s">
        <v>1254</v>
      </c>
      <c r="AP23" s="29" t="s">
        <v>1255</v>
      </c>
      <c r="AQ23" s="29" t="s">
        <v>1257</v>
      </c>
      <c r="AR23" s="18" t="s">
        <v>1224</v>
      </c>
      <c r="AS23" s="18" t="s">
        <v>191</v>
      </c>
      <c r="AT23" s="44" t="s">
        <v>59</v>
      </c>
      <c r="AU23" s="18"/>
    </row>
    <row r="24" spans="1:47" ht="15.75" customHeight="1" x14ac:dyDescent="0.3">
      <c r="A24" s="19">
        <v>20319</v>
      </c>
      <c r="B24" s="18" t="s">
        <v>56</v>
      </c>
      <c r="C24" s="22">
        <v>46213</v>
      </c>
      <c r="D24" s="18" t="s">
        <v>58</v>
      </c>
      <c r="E24" s="18" t="s">
        <v>1262</v>
      </c>
      <c r="F24" s="25" t="s">
        <v>1264</v>
      </c>
      <c r="G24" s="18" t="s">
        <v>1265</v>
      </c>
      <c r="H24" s="22">
        <v>34996</v>
      </c>
      <c r="I24" s="18" t="s">
        <v>1268</v>
      </c>
      <c r="J24" s="25" t="s">
        <v>1270</v>
      </c>
      <c r="K24" s="18" t="s">
        <v>1272</v>
      </c>
      <c r="L24" s="18" t="s">
        <v>85</v>
      </c>
      <c r="M24" s="18" t="s">
        <v>72</v>
      </c>
      <c r="N24" s="18" t="s">
        <v>1273</v>
      </c>
      <c r="O24" s="18" t="s">
        <v>74</v>
      </c>
      <c r="P24" s="19" t="s">
        <v>1274</v>
      </c>
      <c r="Q24" s="25" t="s">
        <v>1276</v>
      </c>
      <c r="R24" s="18" t="s">
        <v>1278</v>
      </c>
      <c r="S24" s="18" t="s">
        <v>1279</v>
      </c>
      <c r="T24" s="18" t="s">
        <v>813</v>
      </c>
      <c r="U24" s="18" t="s">
        <v>1280</v>
      </c>
      <c r="V24" s="18" t="s">
        <v>93</v>
      </c>
      <c r="W24" s="25" t="s">
        <v>1281</v>
      </c>
      <c r="X24" s="18" t="s">
        <v>1262</v>
      </c>
      <c r="Y24" s="18" t="s">
        <v>97</v>
      </c>
      <c r="Z24" s="19">
        <v>500437685</v>
      </c>
      <c r="AA24" s="18" t="s">
        <v>1262</v>
      </c>
      <c r="AB24" s="18" t="s">
        <v>1285</v>
      </c>
      <c r="AC24" s="18" t="s">
        <v>1265</v>
      </c>
      <c r="AD24" s="18" t="s">
        <v>105</v>
      </c>
      <c r="AE24" s="65" t="s">
        <v>116</v>
      </c>
      <c r="AF24" s="68">
        <v>46229</v>
      </c>
      <c r="AG24" s="69" t="s">
        <v>500</v>
      </c>
      <c r="AH24" s="29"/>
      <c r="AI24" s="18">
        <v>0</v>
      </c>
      <c r="AJ24" s="19">
        <v>1903435964</v>
      </c>
      <c r="AK24" s="29" t="s">
        <v>1290</v>
      </c>
      <c r="AL24" s="29" t="s">
        <v>1292</v>
      </c>
      <c r="AM24" s="29" t="s">
        <v>1290</v>
      </c>
      <c r="AN24" s="29" t="s">
        <v>1293</v>
      </c>
      <c r="AO24" s="18" t="s">
        <v>1294</v>
      </c>
      <c r="AP24" s="29" t="s">
        <v>1296</v>
      </c>
      <c r="AQ24" s="29" t="s">
        <v>1298</v>
      </c>
      <c r="AR24" s="18" t="s">
        <v>1299</v>
      </c>
      <c r="AS24" s="18" t="s">
        <v>191</v>
      </c>
      <c r="AT24" s="44" t="s">
        <v>1301</v>
      </c>
      <c r="AU24" s="18"/>
    </row>
    <row r="25" spans="1:47" ht="15.75" customHeight="1" x14ac:dyDescent="0.3">
      <c r="A25" s="19">
        <v>20317</v>
      </c>
      <c r="B25" s="18" t="s">
        <v>56</v>
      </c>
      <c r="C25" s="22">
        <v>46213</v>
      </c>
      <c r="D25" s="18" t="s">
        <v>58</v>
      </c>
      <c r="E25" s="18" t="s">
        <v>1305</v>
      </c>
      <c r="F25" s="25" t="s">
        <v>1307</v>
      </c>
      <c r="G25" s="18" t="s">
        <v>1265</v>
      </c>
      <c r="H25" s="22">
        <v>34439</v>
      </c>
      <c r="I25" s="18" t="s">
        <v>1310</v>
      </c>
      <c r="J25" s="25" t="s">
        <v>1311</v>
      </c>
      <c r="K25" s="18" t="s">
        <v>1312</v>
      </c>
      <c r="L25" s="18" t="s">
        <v>179</v>
      </c>
      <c r="M25" s="18" t="s">
        <v>72</v>
      </c>
      <c r="N25" s="18" t="s">
        <v>1313</v>
      </c>
      <c r="O25" s="18" t="s">
        <v>182</v>
      </c>
      <c r="P25" s="19">
        <v>0</v>
      </c>
      <c r="Q25" s="25" t="s">
        <v>1314</v>
      </c>
      <c r="R25" s="18" t="s">
        <v>1315</v>
      </c>
      <c r="S25" s="18" t="s">
        <v>1316</v>
      </c>
      <c r="T25" s="18" t="s">
        <v>813</v>
      </c>
      <c r="U25" s="18" t="s">
        <v>1280</v>
      </c>
      <c r="V25" s="18" t="s">
        <v>93</v>
      </c>
      <c r="W25" s="19">
        <v>724089354602000</v>
      </c>
      <c r="X25" s="18" t="s">
        <v>1305</v>
      </c>
      <c r="Y25" s="18" t="s">
        <v>97</v>
      </c>
      <c r="Z25" s="19">
        <v>500928981</v>
      </c>
      <c r="AA25" s="18" t="s">
        <v>1305</v>
      </c>
      <c r="AB25" s="18" t="s">
        <v>1322</v>
      </c>
      <c r="AC25" s="18" t="s">
        <v>1265</v>
      </c>
      <c r="AD25" s="18" t="s">
        <v>105</v>
      </c>
      <c r="AE25" s="65" t="s">
        <v>116</v>
      </c>
      <c r="AF25" s="68">
        <v>46229</v>
      </c>
      <c r="AG25" s="69" t="s">
        <v>500</v>
      </c>
      <c r="AH25" s="29"/>
      <c r="AI25" s="18">
        <v>0</v>
      </c>
      <c r="AJ25" s="19">
        <v>0</v>
      </c>
      <c r="AK25" s="29" t="s">
        <v>1326</v>
      </c>
      <c r="AL25" s="29" t="s">
        <v>1327</v>
      </c>
      <c r="AM25" s="29" t="s">
        <v>1326</v>
      </c>
      <c r="AN25" s="29" t="s">
        <v>1328</v>
      </c>
      <c r="AO25" s="18" t="s">
        <v>1329</v>
      </c>
      <c r="AP25" s="29" t="s">
        <v>1331</v>
      </c>
      <c r="AQ25" s="29" t="s">
        <v>1332</v>
      </c>
      <c r="AR25" s="18" t="s">
        <v>1299</v>
      </c>
      <c r="AS25" s="18" t="s">
        <v>191</v>
      </c>
      <c r="AT25" s="44" t="s">
        <v>1301</v>
      </c>
      <c r="AU25" s="18"/>
    </row>
    <row r="26" spans="1:47" ht="15.75" customHeight="1" x14ac:dyDescent="0.3">
      <c r="A26" s="19">
        <v>20321</v>
      </c>
      <c r="B26" s="18" t="s">
        <v>56</v>
      </c>
      <c r="C26" s="22">
        <v>46213</v>
      </c>
      <c r="D26" s="18" t="s">
        <v>58</v>
      </c>
      <c r="E26" s="18" t="s">
        <v>1337</v>
      </c>
      <c r="F26" s="25" t="s">
        <v>1339</v>
      </c>
      <c r="G26" s="18" t="s">
        <v>1341</v>
      </c>
      <c r="H26" s="22">
        <v>35131</v>
      </c>
      <c r="I26" s="18" t="s">
        <v>1342</v>
      </c>
      <c r="J26" s="25" t="s">
        <v>1343</v>
      </c>
      <c r="K26" s="18" t="s">
        <v>1345</v>
      </c>
      <c r="L26" s="18" t="s">
        <v>179</v>
      </c>
      <c r="M26" s="18" t="s">
        <v>72</v>
      </c>
      <c r="N26" s="18" t="s">
        <v>574</v>
      </c>
      <c r="O26" s="18" t="s">
        <v>74</v>
      </c>
      <c r="P26" s="19">
        <v>15629603000314</v>
      </c>
      <c r="Q26" s="25" t="s">
        <v>1346</v>
      </c>
      <c r="R26" s="18" t="s">
        <v>1347</v>
      </c>
      <c r="S26" s="18" t="s">
        <v>1348</v>
      </c>
      <c r="T26" s="18" t="s">
        <v>813</v>
      </c>
      <c r="U26" s="18" t="s">
        <v>1280</v>
      </c>
      <c r="V26" s="18" t="s">
        <v>93</v>
      </c>
      <c r="W26" s="19">
        <v>0</v>
      </c>
      <c r="X26" s="18">
        <v>0</v>
      </c>
      <c r="Y26" s="18" t="s">
        <v>97</v>
      </c>
      <c r="Z26" s="19">
        <v>500477253</v>
      </c>
      <c r="AA26" s="18" t="s">
        <v>1337</v>
      </c>
      <c r="AB26" s="18" t="s">
        <v>1356</v>
      </c>
      <c r="AC26" s="18" t="s">
        <v>1356</v>
      </c>
      <c r="AD26" s="18" t="s">
        <v>105</v>
      </c>
      <c r="AE26" s="65" t="s">
        <v>116</v>
      </c>
      <c r="AF26" s="68">
        <v>46229</v>
      </c>
      <c r="AG26" s="69" t="s">
        <v>500</v>
      </c>
      <c r="AH26" s="29"/>
      <c r="AI26" s="18">
        <v>0</v>
      </c>
      <c r="AJ26" s="19">
        <v>0</v>
      </c>
      <c r="AK26" s="32" t="s">
        <v>1357</v>
      </c>
      <c r="AL26" s="29" t="s">
        <v>1358</v>
      </c>
      <c r="AM26" s="29" t="s">
        <v>1357</v>
      </c>
      <c r="AN26" s="29" t="s">
        <v>1359</v>
      </c>
      <c r="AO26" s="18" t="s">
        <v>1362</v>
      </c>
      <c r="AP26" s="29" t="s">
        <v>1364</v>
      </c>
      <c r="AQ26" s="29" t="s">
        <v>1365</v>
      </c>
      <c r="AR26" s="18" t="s">
        <v>1366</v>
      </c>
      <c r="AS26" s="18" t="s">
        <v>191</v>
      </c>
      <c r="AT26" s="44" t="s">
        <v>1301</v>
      </c>
      <c r="AU26" s="18"/>
    </row>
    <row r="27" spans="1:47" ht="15.75" customHeight="1" x14ac:dyDescent="0.3">
      <c r="A27" s="19">
        <v>20335</v>
      </c>
      <c r="B27" s="18" t="s">
        <v>56</v>
      </c>
      <c r="C27" s="22">
        <v>46213</v>
      </c>
      <c r="D27" s="18" t="s">
        <v>58</v>
      </c>
      <c r="E27" s="18" t="s">
        <v>1370</v>
      </c>
      <c r="F27" s="25" t="s">
        <v>1371</v>
      </c>
      <c r="G27" s="18" t="s">
        <v>1372</v>
      </c>
      <c r="H27" s="22">
        <v>33457</v>
      </c>
      <c r="I27" s="18" t="s">
        <v>1374</v>
      </c>
      <c r="J27" s="25" t="s">
        <v>1375</v>
      </c>
      <c r="K27" s="18" t="s">
        <v>1376</v>
      </c>
      <c r="L27" s="18" t="s">
        <v>70</v>
      </c>
      <c r="M27" s="18" t="s">
        <v>72</v>
      </c>
      <c r="N27" s="18" t="s">
        <v>1377</v>
      </c>
      <c r="O27" s="18" t="s">
        <v>74</v>
      </c>
      <c r="P27" s="19">
        <v>15629108000360</v>
      </c>
      <c r="Q27" s="25" t="s">
        <v>1379</v>
      </c>
      <c r="R27" s="18" t="s">
        <v>1381</v>
      </c>
      <c r="S27" s="18" t="s">
        <v>1382</v>
      </c>
      <c r="T27" s="18" t="s">
        <v>813</v>
      </c>
      <c r="U27" s="18" t="s">
        <v>1280</v>
      </c>
      <c r="V27" s="18" t="s">
        <v>93</v>
      </c>
      <c r="W27" s="19">
        <v>0</v>
      </c>
      <c r="X27" s="18">
        <v>0</v>
      </c>
      <c r="Y27" s="18" t="s">
        <v>97</v>
      </c>
      <c r="Z27" s="19">
        <v>500717483</v>
      </c>
      <c r="AA27" s="18" t="s">
        <v>1370</v>
      </c>
      <c r="AB27" s="18" t="s">
        <v>1383</v>
      </c>
      <c r="AC27" s="18" t="s">
        <v>1372</v>
      </c>
      <c r="AD27" s="18" t="s">
        <v>105</v>
      </c>
      <c r="AE27" s="65" t="s">
        <v>116</v>
      </c>
      <c r="AF27" s="68">
        <v>46229</v>
      </c>
      <c r="AG27" s="69" t="s">
        <v>500</v>
      </c>
      <c r="AH27" s="29"/>
      <c r="AI27" s="18">
        <v>0</v>
      </c>
      <c r="AJ27" s="19">
        <v>0</v>
      </c>
      <c r="AK27" s="29" t="s">
        <v>1384</v>
      </c>
      <c r="AL27" s="29" t="s">
        <v>1385</v>
      </c>
      <c r="AM27" s="29" t="s">
        <v>1384</v>
      </c>
      <c r="AN27" s="29" t="s">
        <v>1386</v>
      </c>
      <c r="AO27" s="18" t="s">
        <v>1387</v>
      </c>
      <c r="AP27" s="29" t="s">
        <v>1388</v>
      </c>
      <c r="AQ27" s="29" t="s">
        <v>1389</v>
      </c>
      <c r="AR27" s="18" t="s">
        <v>1366</v>
      </c>
      <c r="AS27" s="18" t="s">
        <v>191</v>
      </c>
      <c r="AT27" s="44" t="s">
        <v>1301</v>
      </c>
      <c r="AU27" s="18"/>
    </row>
    <row r="28" spans="1:47" ht="15.75" customHeight="1" x14ac:dyDescent="0.3">
      <c r="A28" s="19">
        <v>20224</v>
      </c>
      <c r="B28" s="18" t="s">
        <v>56</v>
      </c>
      <c r="C28" s="22">
        <v>46213</v>
      </c>
      <c r="D28" s="18" t="s">
        <v>58</v>
      </c>
      <c r="E28" s="18" t="s">
        <v>1390</v>
      </c>
      <c r="F28" s="25" t="s">
        <v>1391</v>
      </c>
      <c r="G28" s="18" t="s">
        <v>1392</v>
      </c>
      <c r="H28" s="22">
        <v>34644</v>
      </c>
      <c r="I28" s="18" t="s">
        <v>1393</v>
      </c>
      <c r="J28" s="25" t="s">
        <v>1394</v>
      </c>
      <c r="K28" s="18" t="s">
        <v>1395</v>
      </c>
      <c r="L28" s="18" t="s">
        <v>179</v>
      </c>
      <c r="M28" s="18" t="s">
        <v>72</v>
      </c>
      <c r="N28" s="18" t="s">
        <v>73</v>
      </c>
      <c r="O28" s="18" t="s">
        <v>182</v>
      </c>
      <c r="P28" s="19">
        <v>941115610080</v>
      </c>
      <c r="Q28" s="25" t="s">
        <v>1396</v>
      </c>
      <c r="R28" s="18" t="s">
        <v>1397</v>
      </c>
      <c r="S28" s="18" t="s">
        <v>1398</v>
      </c>
      <c r="T28" s="18" t="s">
        <v>813</v>
      </c>
      <c r="U28" s="18" t="s">
        <v>1399</v>
      </c>
      <c r="V28" s="18" t="s">
        <v>93</v>
      </c>
      <c r="W28" s="19">
        <v>712675347624000</v>
      </c>
      <c r="X28" s="18" t="s">
        <v>1390</v>
      </c>
      <c r="Y28" s="18" t="s">
        <v>97</v>
      </c>
      <c r="Z28" s="19">
        <v>892173867</v>
      </c>
      <c r="AA28" s="18" t="s">
        <v>1390</v>
      </c>
      <c r="AB28" s="18" t="s">
        <v>1402</v>
      </c>
      <c r="AC28" s="18" t="s">
        <v>1404</v>
      </c>
      <c r="AD28" s="18" t="s">
        <v>105</v>
      </c>
      <c r="AE28" s="65" t="s">
        <v>116</v>
      </c>
      <c r="AF28" s="68">
        <v>46236</v>
      </c>
      <c r="AG28" s="69" t="s">
        <v>500</v>
      </c>
      <c r="AH28" s="29"/>
      <c r="AI28" s="18">
        <v>0</v>
      </c>
      <c r="AJ28" s="19">
        <v>786250361</v>
      </c>
      <c r="AK28" s="32" t="s">
        <v>1407</v>
      </c>
      <c r="AL28" s="29" t="s">
        <v>1408</v>
      </c>
      <c r="AM28" s="29" t="s">
        <v>1407</v>
      </c>
      <c r="AN28" s="29" t="s">
        <v>1409</v>
      </c>
      <c r="AO28" s="18" t="s">
        <v>1411</v>
      </c>
      <c r="AP28" s="29" t="s">
        <v>1413</v>
      </c>
      <c r="AQ28" s="29" t="s">
        <v>1415</v>
      </c>
      <c r="AR28" s="18" t="s">
        <v>1417</v>
      </c>
      <c r="AS28" s="18" t="s">
        <v>191</v>
      </c>
      <c r="AT28" s="44" t="s">
        <v>1301</v>
      </c>
      <c r="AU28" s="18"/>
    </row>
    <row r="29" spans="1:47" ht="15.75" customHeight="1" x14ac:dyDescent="0.3">
      <c r="A29" s="19">
        <v>20225</v>
      </c>
      <c r="B29" s="18" t="s">
        <v>56</v>
      </c>
      <c r="C29" s="22">
        <v>46213</v>
      </c>
      <c r="D29" s="18" t="s">
        <v>58</v>
      </c>
      <c r="E29" s="18" t="s">
        <v>1422</v>
      </c>
      <c r="F29" s="25" t="s">
        <v>1424</v>
      </c>
      <c r="G29" s="18" t="s">
        <v>1426</v>
      </c>
      <c r="H29" s="22">
        <v>36327</v>
      </c>
      <c r="I29" s="18" t="s">
        <v>1427</v>
      </c>
      <c r="J29" s="25" t="s">
        <v>1428</v>
      </c>
      <c r="K29" s="18" t="s">
        <v>1430</v>
      </c>
      <c r="L29" s="18" t="s">
        <v>179</v>
      </c>
      <c r="M29" s="18" t="s">
        <v>72</v>
      </c>
      <c r="N29" s="18" t="s">
        <v>273</v>
      </c>
      <c r="O29" s="18" t="s">
        <v>182</v>
      </c>
      <c r="P29" s="25" t="s">
        <v>1424</v>
      </c>
      <c r="Q29" s="25" t="s">
        <v>1431</v>
      </c>
      <c r="R29" s="18" t="s">
        <v>1433</v>
      </c>
      <c r="S29" s="18" t="s">
        <v>1434</v>
      </c>
      <c r="T29" s="18" t="s">
        <v>813</v>
      </c>
      <c r="U29" s="18" t="s">
        <v>1399</v>
      </c>
      <c r="V29" s="18" t="s">
        <v>93</v>
      </c>
      <c r="W29" s="19">
        <v>931460265624000</v>
      </c>
      <c r="X29" s="18" t="s">
        <v>1422</v>
      </c>
      <c r="Y29" s="18" t="s">
        <v>389</v>
      </c>
      <c r="Z29" s="19">
        <v>901544660918</v>
      </c>
      <c r="AA29" s="18" t="s">
        <v>1422</v>
      </c>
      <c r="AB29" s="18" t="s">
        <v>1430</v>
      </c>
      <c r="AC29" s="18" t="s">
        <v>1426</v>
      </c>
      <c r="AD29" s="18" t="s">
        <v>105</v>
      </c>
      <c r="AE29" s="65" t="s">
        <v>116</v>
      </c>
      <c r="AF29" s="68">
        <v>46236</v>
      </c>
      <c r="AG29" s="69" t="s">
        <v>500</v>
      </c>
      <c r="AH29" s="29"/>
      <c r="AI29" s="18">
        <v>25195169526</v>
      </c>
      <c r="AJ29" s="19">
        <v>2314276457</v>
      </c>
      <c r="AK29" s="29" t="s">
        <v>1437</v>
      </c>
      <c r="AL29" s="29" t="s">
        <v>1438</v>
      </c>
      <c r="AM29" s="29" t="s">
        <v>1437</v>
      </c>
      <c r="AN29" s="29" t="s">
        <v>1439</v>
      </c>
      <c r="AO29" s="18" t="s">
        <v>1440</v>
      </c>
      <c r="AP29" s="29" t="s">
        <v>1441</v>
      </c>
      <c r="AQ29" s="29" t="s">
        <v>1442</v>
      </c>
      <c r="AR29" s="18" t="s">
        <v>1417</v>
      </c>
      <c r="AS29" s="18" t="s">
        <v>191</v>
      </c>
      <c r="AT29" s="44" t="s">
        <v>1301</v>
      </c>
      <c r="AU29" s="18"/>
    </row>
    <row r="30" spans="1:47" ht="15.75" customHeight="1" x14ac:dyDescent="0.3">
      <c r="A30" s="19">
        <v>20227</v>
      </c>
      <c r="B30" s="18" t="s">
        <v>56</v>
      </c>
      <c r="C30" s="22">
        <v>46213</v>
      </c>
      <c r="D30" s="18" t="s">
        <v>58</v>
      </c>
      <c r="E30" s="18" t="s">
        <v>1443</v>
      </c>
      <c r="F30" s="25" t="s">
        <v>1444</v>
      </c>
      <c r="G30" s="18" t="s">
        <v>1445</v>
      </c>
      <c r="H30" s="22">
        <v>35831</v>
      </c>
      <c r="I30" s="18" t="s">
        <v>1446</v>
      </c>
      <c r="J30" s="25" t="s">
        <v>1447</v>
      </c>
      <c r="K30" s="18" t="s">
        <v>1448</v>
      </c>
      <c r="L30" s="18" t="s">
        <v>179</v>
      </c>
      <c r="M30" s="18" t="s">
        <v>72</v>
      </c>
      <c r="N30" s="18" t="s">
        <v>471</v>
      </c>
      <c r="O30" s="18" t="s">
        <v>74</v>
      </c>
      <c r="P30" s="19">
        <v>0</v>
      </c>
      <c r="Q30" s="25" t="s">
        <v>1449</v>
      </c>
      <c r="R30" s="18" t="s">
        <v>1450</v>
      </c>
      <c r="S30" s="18" t="s">
        <v>1451</v>
      </c>
      <c r="T30" s="18" t="s">
        <v>90</v>
      </c>
      <c r="U30" s="18" t="s">
        <v>91</v>
      </c>
      <c r="V30" s="18" t="s">
        <v>93</v>
      </c>
      <c r="W30" s="19">
        <v>0</v>
      </c>
      <c r="X30" s="18">
        <v>0</v>
      </c>
      <c r="Y30" s="18" t="s">
        <v>389</v>
      </c>
      <c r="Z30" s="19">
        <v>901036118932</v>
      </c>
      <c r="AA30" s="18" t="s">
        <v>1443</v>
      </c>
      <c r="AB30" s="18" t="s">
        <v>1457</v>
      </c>
      <c r="AC30" s="18" t="s">
        <v>1445</v>
      </c>
      <c r="AD30" s="18" t="s">
        <v>105</v>
      </c>
      <c r="AE30" s="18" t="s">
        <v>116</v>
      </c>
      <c r="AF30" s="47">
        <v>46236</v>
      </c>
      <c r="AG30" s="31" t="s">
        <v>500</v>
      </c>
      <c r="AH30" s="29"/>
      <c r="AI30" s="43">
        <v>0</v>
      </c>
      <c r="AJ30" s="67">
        <v>0</v>
      </c>
      <c r="AK30" s="43" t="s">
        <v>1459</v>
      </c>
      <c r="AL30" s="29" t="s">
        <v>1462</v>
      </c>
      <c r="AM30" s="43" t="s">
        <v>1459</v>
      </c>
      <c r="AN30" s="43" t="s">
        <v>1464</v>
      </c>
      <c r="AO30" s="43" t="s">
        <v>1466</v>
      </c>
      <c r="AP30" s="43" t="s">
        <v>1468</v>
      </c>
      <c r="AQ30" s="43" t="s">
        <v>1470</v>
      </c>
      <c r="AR30" s="18" t="s">
        <v>1471</v>
      </c>
      <c r="AS30" s="18" t="s">
        <v>191</v>
      </c>
      <c r="AT30" s="44" t="s">
        <v>227</v>
      </c>
      <c r="AU30" s="18"/>
    </row>
    <row r="31" spans="1:47" ht="15.75" customHeight="1" x14ac:dyDescent="0.3">
      <c r="A31" s="19">
        <v>20228</v>
      </c>
      <c r="B31" s="18" t="s">
        <v>56</v>
      </c>
      <c r="C31" s="22">
        <v>46213</v>
      </c>
      <c r="D31" s="18" t="s">
        <v>58</v>
      </c>
      <c r="E31" s="18" t="s">
        <v>1475</v>
      </c>
      <c r="F31" s="25" t="s">
        <v>1476</v>
      </c>
      <c r="G31" s="18" t="s">
        <v>1477</v>
      </c>
      <c r="H31" s="22">
        <v>36606</v>
      </c>
      <c r="I31" s="18" t="s">
        <v>1479</v>
      </c>
      <c r="J31" s="25" t="s">
        <v>1480</v>
      </c>
      <c r="K31" s="18" t="s">
        <v>1481</v>
      </c>
      <c r="L31" s="18" t="s">
        <v>85</v>
      </c>
      <c r="M31" s="18" t="s">
        <v>72</v>
      </c>
      <c r="N31" s="18" t="s">
        <v>1483</v>
      </c>
      <c r="O31" s="18" t="s">
        <v>182</v>
      </c>
      <c r="P31" s="19">
        <v>14140003000127</v>
      </c>
      <c r="Q31" s="25" t="s">
        <v>1484</v>
      </c>
      <c r="R31" s="18" t="s">
        <v>1485</v>
      </c>
      <c r="S31" s="24" t="s">
        <v>1487</v>
      </c>
      <c r="T31" s="18" t="s">
        <v>90</v>
      </c>
      <c r="U31" s="18" t="s">
        <v>91</v>
      </c>
      <c r="V31" s="18" t="s">
        <v>93</v>
      </c>
      <c r="W31" s="19">
        <v>0</v>
      </c>
      <c r="X31" s="18">
        <v>0</v>
      </c>
      <c r="Y31" s="18" t="s">
        <v>97</v>
      </c>
      <c r="Z31" s="19">
        <v>463431164</v>
      </c>
      <c r="AA31" s="18" t="s">
        <v>1475</v>
      </c>
      <c r="AB31" s="18" t="s">
        <v>1481</v>
      </c>
      <c r="AC31" s="18" t="s">
        <v>64</v>
      </c>
      <c r="AD31" s="18" t="s">
        <v>105</v>
      </c>
      <c r="AE31" s="65" t="s">
        <v>116</v>
      </c>
      <c r="AF31" s="68">
        <v>46236</v>
      </c>
      <c r="AG31" s="69" t="s">
        <v>500</v>
      </c>
      <c r="AH31" s="29"/>
      <c r="AI31" s="18">
        <v>0</v>
      </c>
      <c r="AJ31" s="19">
        <v>2349579069</v>
      </c>
      <c r="AK31" s="29" t="s">
        <v>1495</v>
      </c>
      <c r="AL31" s="29" t="s">
        <v>1497</v>
      </c>
      <c r="AM31" s="29" t="s">
        <v>1495</v>
      </c>
      <c r="AN31" s="29" t="s">
        <v>1499</v>
      </c>
      <c r="AO31" s="18" t="s">
        <v>1502</v>
      </c>
      <c r="AP31" s="29" t="s">
        <v>1503</v>
      </c>
      <c r="AQ31" s="29" t="s">
        <v>1505</v>
      </c>
      <c r="AR31" s="18" t="s">
        <v>1471</v>
      </c>
      <c r="AS31" s="18" t="s">
        <v>191</v>
      </c>
      <c r="AT31" s="44" t="s">
        <v>227</v>
      </c>
      <c r="AU31" s="18"/>
    </row>
    <row r="32" spans="1:47" ht="15.75" customHeight="1" x14ac:dyDescent="0.3">
      <c r="A32" s="19">
        <v>20229</v>
      </c>
      <c r="B32" s="18" t="s">
        <v>56</v>
      </c>
      <c r="C32" s="22">
        <v>46213</v>
      </c>
      <c r="D32" s="18" t="s">
        <v>58</v>
      </c>
      <c r="E32" s="18" t="s">
        <v>1511</v>
      </c>
      <c r="F32" s="25" t="s">
        <v>1512</v>
      </c>
      <c r="G32" s="18" t="s">
        <v>1513</v>
      </c>
      <c r="H32" s="22">
        <v>37986</v>
      </c>
      <c r="I32" s="18" t="s">
        <v>1515</v>
      </c>
      <c r="J32" s="25" t="s">
        <v>1516</v>
      </c>
      <c r="K32" s="18" t="s">
        <v>1517</v>
      </c>
      <c r="L32" s="18" t="s">
        <v>141</v>
      </c>
      <c r="M32" s="18" t="s">
        <v>72</v>
      </c>
      <c r="N32" s="18" t="s">
        <v>1519</v>
      </c>
      <c r="O32" s="18" t="s">
        <v>74</v>
      </c>
      <c r="P32" s="19">
        <v>0</v>
      </c>
      <c r="Q32" s="25" t="s">
        <v>1522</v>
      </c>
      <c r="R32" s="18" t="s">
        <v>1524</v>
      </c>
      <c r="S32" s="18" t="s">
        <v>1527</v>
      </c>
      <c r="T32" s="18" t="s">
        <v>90</v>
      </c>
      <c r="U32" s="18" t="s">
        <v>1529</v>
      </c>
      <c r="V32" s="18" t="s">
        <v>93</v>
      </c>
      <c r="W32" s="25" t="s">
        <v>1512</v>
      </c>
      <c r="X32" s="18" t="s">
        <v>1530</v>
      </c>
      <c r="Y32" s="18" t="s">
        <v>97</v>
      </c>
      <c r="Z32" s="19">
        <v>2391006981</v>
      </c>
      <c r="AA32" s="18" t="s">
        <v>1511</v>
      </c>
      <c r="AB32" s="18" t="s">
        <v>1517</v>
      </c>
      <c r="AC32" s="18" t="s">
        <v>1513</v>
      </c>
      <c r="AD32" s="18" t="s">
        <v>105</v>
      </c>
      <c r="AE32" s="65" t="s">
        <v>116</v>
      </c>
      <c r="AF32" s="68">
        <v>46236</v>
      </c>
      <c r="AG32" s="69" t="s">
        <v>500</v>
      </c>
      <c r="AH32" s="29"/>
      <c r="AI32" s="18">
        <v>0</v>
      </c>
      <c r="AJ32" s="19">
        <v>0</v>
      </c>
      <c r="AK32" s="29" t="s">
        <v>1539</v>
      </c>
      <c r="AL32" s="29" t="s">
        <v>1541</v>
      </c>
      <c r="AM32" s="32" t="s">
        <v>1539</v>
      </c>
      <c r="AN32" s="29" t="s">
        <v>1542</v>
      </c>
      <c r="AO32" s="18" t="s">
        <v>1543</v>
      </c>
      <c r="AP32" s="29" t="s">
        <v>1545</v>
      </c>
      <c r="AQ32" s="29" t="s">
        <v>1547</v>
      </c>
      <c r="AR32" s="18" t="s">
        <v>1549</v>
      </c>
      <c r="AS32" s="18" t="s">
        <v>191</v>
      </c>
      <c r="AT32" s="44" t="s">
        <v>227</v>
      </c>
      <c r="AU32" s="18"/>
    </row>
    <row r="33" spans="1:47" ht="15.75" customHeight="1" x14ac:dyDescent="0.3">
      <c r="A33" s="19">
        <v>20230</v>
      </c>
      <c r="B33" s="18" t="s">
        <v>56</v>
      </c>
      <c r="C33" s="22">
        <v>46213</v>
      </c>
      <c r="D33" s="18" t="s">
        <v>58</v>
      </c>
      <c r="E33" s="18" t="s">
        <v>1553</v>
      </c>
      <c r="F33" s="25" t="s">
        <v>1555</v>
      </c>
      <c r="G33" s="18" t="s">
        <v>1477</v>
      </c>
      <c r="H33" s="22">
        <v>35571</v>
      </c>
      <c r="I33" s="18" t="s">
        <v>1559</v>
      </c>
      <c r="J33" s="25" t="s">
        <v>1560</v>
      </c>
      <c r="K33" s="18" t="s">
        <v>1561</v>
      </c>
      <c r="L33" s="18" t="s">
        <v>179</v>
      </c>
      <c r="M33" s="18" t="s">
        <v>72</v>
      </c>
      <c r="N33" s="18" t="s">
        <v>1562</v>
      </c>
      <c r="O33" s="18" t="s">
        <v>74</v>
      </c>
      <c r="P33" s="25" t="s">
        <v>1555</v>
      </c>
      <c r="Q33" s="25" t="s">
        <v>1563</v>
      </c>
      <c r="R33" s="18" t="s">
        <v>1564</v>
      </c>
      <c r="S33" s="24" t="s">
        <v>1567</v>
      </c>
      <c r="T33" s="18" t="s">
        <v>90</v>
      </c>
      <c r="U33" s="18" t="s">
        <v>91</v>
      </c>
      <c r="V33" s="18" t="s">
        <v>93</v>
      </c>
      <c r="W33" s="19">
        <v>395307911521000</v>
      </c>
      <c r="X33" s="18" t="s">
        <v>1553</v>
      </c>
      <c r="Y33" s="18" t="s">
        <v>480</v>
      </c>
      <c r="Z33" s="19">
        <v>1782376180</v>
      </c>
      <c r="AA33" s="18" t="s">
        <v>1553</v>
      </c>
      <c r="AB33" s="18" t="s">
        <v>1561</v>
      </c>
      <c r="AC33" s="18" t="s">
        <v>64</v>
      </c>
      <c r="AD33" s="18" t="s">
        <v>105</v>
      </c>
      <c r="AE33" s="65" t="s">
        <v>116</v>
      </c>
      <c r="AF33" s="68">
        <v>46236</v>
      </c>
      <c r="AG33" s="69" t="s">
        <v>500</v>
      </c>
      <c r="AH33" s="29"/>
      <c r="AI33" s="18">
        <v>0</v>
      </c>
      <c r="AJ33" s="19">
        <v>0</v>
      </c>
      <c r="AK33" s="29" t="s">
        <v>1577</v>
      </c>
      <c r="AL33" s="29" t="s">
        <v>1579</v>
      </c>
      <c r="AM33" s="29" t="s">
        <v>1577</v>
      </c>
      <c r="AN33" s="29" t="s">
        <v>1580</v>
      </c>
      <c r="AO33" s="18" t="s">
        <v>1581</v>
      </c>
      <c r="AP33" s="29" t="s">
        <v>1583</v>
      </c>
      <c r="AQ33" s="29" t="s">
        <v>1584</v>
      </c>
      <c r="AR33" s="18" t="s">
        <v>1585</v>
      </c>
      <c r="AS33" s="18" t="s">
        <v>191</v>
      </c>
      <c r="AT33" s="44" t="s">
        <v>227</v>
      </c>
      <c r="AU33" s="18"/>
    </row>
    <row r="34" spans="1:47" ht="15.75" customHeight="1" x14ac:dyDescent="0.3">
      <c r="A34" s="19">
        <v>20235</v>
      </c>
      <c r="B34" s="18" t="s">
        <v>56</v>
      </c>
      <c r="C34" s="22">
        <v>46213</v>
      </c>
      <c r="D34" s="18" t="s">
        <v>58</v>
      </c>
      <c r="E34" s="18" t="s">
        <v>1589</v>
      </c>
      <c r="F34" s="25" t="s">
        <v>1591</v>
      </c>
      <c r="G34" s="18" t="s">
        <v>1513</v>
      </c>
      <c r="H34" s="22">
        <v>37363</v>
      </c>
      <c r="I34" s="18" t="s">
        <v>1595</v>
      </c>
      <c r="J34" s="25" t="s">
        <v>1596</v>
      </c>
      <c r="K34" s="18" t="s">
        <v>1598</v>
      </c>
      <c r="L34" s="18" t="s">
        <v>141</v>
      </c>
      <c r="M34" s="18" t="s">
        <v>72</v>
      </c>
      <c r="N34" s="18" t="s">
        <v>1599</v>
      </c>
      <c r="O34" s="18" t="s">
        <v>74</v>
      </c>
      <c r="P34" s="19">
        <v>14580204000243</v>
      </c>
      <c r="Q34" s="25" t="s">
        <v>1591</v>
      </c>
      <c r="R34" s="18" t="s">
        <v>1602</v>
      </c>
      <c r="S34" s="18" t="s">
        <v>1603</v>
      </c>
      <c r="T34" s="18" t="s">
        <v>90</v>
      </c>
      <c r="U34" s="18" t="s">
        <v>1529</v>
      </c>
      <c r="V34" s="18" t="s">
        <v>93</v>
      </c>
      <c r="W34" s="19">
        <v>0</v>
      </c>
      <c r="X34" s="18">
        <v>0</v>
      </c>
      <c r="Y34" s="18" t="s">
        <v>97</v>
      </c>
      <c r="Z34" s="19">
        <v>961204754</v>
      </c>
      <c r="AA34" s="18" t="s">
        <v>1589</v>
      </c>
      <c r="AB34" s="18" t="s">
        <v>1598</v>
      </c>
      <c r="AC34" s="18" t="s">
        <v>1513</v>
      </c>
      <c r="AD34" s="18" t="s">
        <v>105</v>
      </c>
      <c r="AE34" s="65" t="s">
        <v>116</v>
      </c>
      <c r="AF34" s="68">
        <v>46236</v>
      </c>
      <c r="AG34" s="69" t="s">
        <v>500</v>
      </c>
      <c r="AH34" s="29"/>
      <c r="AI34" s="18">
        <v>0</v>
      </c>
      <c r="AJ34" s="19">
        <v>21005150228</v>
      </c>
      <c r="AK34" s="29" t="s">
        <v>1610</v>
      </c>
      <c r="AL34" s="29" t="s">
        <v>1612</v>
      </c>
      <c r="AM34" s="29" t="s">
        <v>1610</v>
      </c>
      <c r="AN34" s="29" t="s">
        <v>1613</v>
      </c>
      <c r="AO34" s="18" t="s">
        <v>1615</v>
      </c>
      <c r="AP34" s="29" t="s">
        <v>1616</v>
      </c>
      <c r="AQ34" s="29" t="s">
        <v>1617</v>
      </c>
      <c r="AR34" s="18" t="s">
        <v>1549</v>
      </c>
      <c r="AS34" s="18" t="s">
        <v>191</v>
      </c>
      <c r="AT34" s="44" t="s">
        <v>227</v>
      </c>
      <c r="AU34" s="18"/>
    </row>
    <row r="35" spans="1:47" ht="15.75" customHeight="1" x14ac:dyDescent="0.3">
      <c r="A35" s="19">
        <v>20236</v>
      </c>
      <c r="B35" s="18" t="s">
        <v>56</v>
      </c>
      <c r="C35" s="22">
        <v>46213</v>
      </c>
      <c r="D35" s="18" t="s">
        <v>58</v>
      </c>
      <c r="E35" s="18" t="s">
        <v>1618</v>
      </c>
      <c r="F35" s="25" t="s">
        <v>1619</v>
      </c>
      <c r="G35" s="18" t="s">
        <v>1620</v>
      </c>
      <c r="H35" s="22">
        <v>36072</v>
      </c>
      <c r="I35" s="18" t="s">
        <v>1621</v>
      </c>
      <c r="J35" s="25" t="s">
        <v>1622</v>
      </c>
      <c r="K35" s="18" t="s">
        <v>1623</v>
      </c>
      <c r="L35" s="18" t="s">
        <v>85</v>
      </c>
      <c r="M35" s="18" t="s">
        <v>72</v>
      </c>
      <c r="N35" s="18" t="s">
        <v>1624</v>
      </c>
      <c r="O35" s="18" t="s">
        <v>74</v>
      </c>
      <c r="P35" s="25" t="s">
        <v>1619</v>
      </c>
      <c r="Q35" s="25" t="s">
        <v>1625</v>
      </c>
      <c r="R35" s="18" t="s">
        <v>1626</v>
      </c>
      <c r="S35" s="18" t="s">
        <v>1627</v>
      </c>
      <c r="T35" s="18" t="s">
        <v>90</v>
      </c>
      <c r="U35" s="18" t="s">
        <v>91</v>
      </c>
      <c r="V35" s="18" t="s">
        <v>93</v>
      </c>
      <c r="W35" s="19">
        <v>851728378521000</v>
      </c>
      <c r="X35" s="18" t="s">
        <v>1618</v>
      </c>
      <c r="Y35" s="18" t="s">
        <v>97</v>
      </c>
      <c r="Z35" s="19">
        <v>3580514943</v>
      </c>
      <c r="AA35" s="18" t="s">
        <v>1618</v>
      </c>
      <c r="AB35" s="18" t="s">
        <v>1628</v>
      </c>
      <c r="AC35" s="18" t="s">
        <v>1620</v>
      </c>
      <c r="AD35" s="18" t="s">
        <v>105</v>
      </c>
      <c r="AE35" s="65" t="s">
        <v>116</v>
      </c>
      <c r="AF35" s="68">
        <v>46236</v>
      </c>
      <c r="AG35" s="69" t="s">
        <v>500</v>
      </c>
      <c r="AH35" s="29"/>
      <c r="AI35" s="18">
        <v>0</v>
      </c>
      <c r="AJ35" s="19">
        <v>2611020824</v>
      </c>
      <c r="AK35" s="29" t="s">
        <v>1629</v>
      </c>
      <c r="AL35" s="29" t="s">
        <v>1630</v>
      </c>
      <c r="AM35" s="29" t="s">
        <v>1629</v>
      </c>
      <c r="AN35" s="29" t="s">
        <v>1631</v>
      </c>
      <c r="AO35" s="18" t="s">
        <v>1632</v>
      </c>
      <c r="AP35" s="29" t="s">
        <v>1633</v>
      </c>
      <c r="AQ35" s="32" t="s">
        <v>1635</v>
      </c>
      <c r="AR35" s="18" t="s">
        <v>1585</v>
      </c>
      <c r="AS35" s="18" t="s">
        <v>191</v>
      </c>
      <c r="AT35" s="44" t="s">
        <v>227</v>
      </c>
      <c r="AU35" s="18"/>
    </row>
    <row r="36" spans="1:47" ht="15.75" customHeight="1" x14ac:dyDescent="0.3">
      <c r="A36" s="19">
        <v>20241</v>
      </c>
      <c r="B36" s="18" t="s">
        <v>56</v>
      </c>
      <c r="C36" s="22">
        <v>46213</v>
      </c>
      <c r="D36" s="18" t="s">
        <v>58</v>
      </c>
      <c r="E36" s="18" t="s">
        <v>1301</v>
      </c>
      <c r="F36" s="25" t="s">
        <v>1641</v>
      </c>
      <c r="G36" s="18" t="s">
        <v>1642</v>
      </c>
      <c r="H36" s="22">
        <v>31963</v>
      </c>
      <c r="I36" s="18" t="s">
        <v>1643</v>
      </c>
      <c r="J36" s="25" t="s">
        <v>1644</v>
      </c>
      <c r="K36" s="18" t="s">
        <v>1645</v>
      </c>
      <c r="L36" s="18" t="s">
        <v>85</v>
      </c>
      <c r="M36" s="18" t="s">
        <v>72</v>
      </c>
      <c r="N36" s="18" t="s">
        <v>1646</v>
      </c>
      <c r="O36" s="18" t="s">
        <v>74</v>
      </c>
      <c r="P36" s="19">
        <v>15148707000995</v>
      </c>
      <c r="Q36" s="25" t="s">
        <v>1648</v>
      </c>
      <c r="R36" s="18" t="s">
        <v>1649</v>
      </c>
      <c r="S36" s="18" t="s">
        <v>676</v>
      </c>
      <c r="T36" s="18" t="s">
        <v>813</v>
      </c>
      <c r="U36" s="18" t="s">
        <v>1399</v>
      </c>
      <c r="V36" s="18" t="s">
        <v>106</v>
      </c>
      <c r="W36" s="19">
        <v>0</v>
      </c>
      <c r="X36" s="18">
        <v>0</v>
      </c>
      <c r="Y36" s="18" t="s">
        <v>97</v>
      </c>
      <c r="Z36" s="19">
        <v>6720575173</v>
      </c>
      <c r="AA36" s="18" t="s">
        <v>1301</v>
      </c>
      <c r="AB36" s="18" t="s">
        <v>1645</v>
      </c>
      <c r="AC36" s="18" t="s">
        <v>1392</v>
      </c>
      <c r="AD36" s="18" t="s">
        <v>105</v>
      </c>
      <c r="AE36" s="65" t="s">
        <v>116</v>
      </c>
      <c r="AF36" s="68">
        <v>46236</v>
      </c>
      <c r="AG36" s="69" t="s">
        <v>500</v>
      </c>
      <c r="AH36" s="29"/>
      <c r="AI36" s="18">
        <v>0</v>
      </c>
      <c r="AJ36" s="19">
        <v>0</v>
      </c>
      <c r="AK36" s="29" t="s">
        <v>1658</v>
      </c>
      <c r="AL36" s="29" t="s">
        <v>1660</v>
      </c>
      <c r="AM36" s="29" t="s">
        <v>1658</v>
      </c>
      <c r="AN36" s="29" t="s">
        <v>1661</v>
      </c>
      <c r="AO36" s="18" t="s">
        <v>1662</v>
      </c>
      <c r="AP36" s="29" t="s">
        <v>1663</v>
      </c>
      <c r="AQ36" s="32" t="s">
        <v>1664</v>
      </c>
      <c r="AR36" s="18" t="s">
        <v>1666</v>
      </c>
      <c r="AS36" s="18" t="s">
        <v>191</v>
      </c>
      <c r="AT36" s="44" t="s">
        <v>1301</v>
      </c>
      <c r="AU36" s="18"/>
    </row>
    <row r="37" spans="1:47" ht="15.75" customHeight="1" x14ac:dyDescent="0.3">
      <c r="A37" s="19">
        <v>20283</v>
      </c>
      <c r="B37" s="18" t="s">
        <v>56</v>
      </c>
      <c r="C37" s="22">
        <v>46213</v>
      </c>
      <c r="D37" s="18" t="s">
        <v>58</v>
      </c>
      <c r="E37" s="18" t="s">
        <v>1673</v>
      </c>
      <c r="F37" s="25" t="s">
        <v>1674</v>
      </c>
      <c r="G37" s="18" t="s">
        <v>1675</v>
      </c>
      <c r="H37" s="22">
        <v>39222</v>
      </c>
      <c r="I37" s="18" t="s">
        <v>1676</v>
      </c>
      <c r="J37" s="25" t="s">
        <v>1677</v>
      </c>
      <c r="K37" s="18" t="s">
        <v>1678</v>
      </c>
      <c r="L37" s="18" t="s">
        <v>234</v>
      </c>
      <c r="M37" s="18" t="s">
        <v>72</v>
      </c>
      <c r="N37" s="18" t="s">
        <v>483</v>
      </c>
      <c r="O37" s="18" t="s">
        <v>182</v>
      </c>
      <c r="P37" s="25" t="s">
        <v>1674</v>
      </c>
      <c r="Q37" s="25" t="s">
        <v>1682</v>
      </c>
      <c r="R37" s="18" t="s">
        <v>1684</v>
      </c>
      <c r="S37" s="18" t="s">
        <v>1686</v>
      </c>
      <c r="T37" s="18" t="s">
        <v>813</v>
      </c>
      <c r="U37" s="18" t="s">
        <v>1687</v>
      </c>
      <c r="V37" s="18" t="s">
        <v>93</v>
      </c>
      <c r="W37" s="19">
        <v>0</v>
      </c>
      <c r="X37" s="18">
        <v>0</v>
      </c>
      <c r="Y37" s="18" t="s">
        <v>439</v>
      </c>
      <c r="Z37" s="19">
        <v>651101026531505</v>
      </c>
      <c r="AA37" s="18" t="s">
        <v>1673</v>
      </c>
      <c r="AB37" s="18" t="s">
        <v>1691</v>
      </c>
      <c r="AC37" s="18" t="s">
        <v>1675</v>
      </c>
      <c r="AD37" s="18" t="s">
        <v>105</v>
      </c>
      <c r="AE37" s="65" t="s">
        <v>116</v>
      </c>
      <c r="AF37" s="68">
        <v>46236</v>
      </c>
      <c r="AG37" s="69" t="s">
        <v>500</v>
      </c>
      <c r="AH37" s="29"/>
      <c r="AI37" s="18">
        <v>1830436569</v>
      </c>
      <c r="AJ37" s="19">
        <v>1830436569</v>
      </c>
      <c r="AK37" s="29" t="s">
        <v>1693</v>
      </c>
      <c r="AL37" s="29" t="s">
        <v>1694</v>
      </c>
      <c r="AM37" s="32" t="s">
        <v>1693</v>
      </c>
      <c r="AN37" s="29" t="s">
        <v>1696</v>
      </c>
      <c r="AO37" s="18" t="s">
        <v>1698</v>
      </c>
      <c r="AP37" s="29" t="s">
        <v>1700</v>
      </c>
      <c r="AQ37" s="29" t="s">
        <v>1702</v>
      </c>
      <c r="AR37" s="18" t="s">
        <v>1704</v>
      </c>
      <c r="AS37" s="18" t="s">
        <v>191</v>
      </c>
      <c r="AT37" s="44" t="s">
        <v>1301</v>
      </c>
      <c r="AU37" s="18"/>
    </row>
    <row r="38" spans="1:47" ht="15.75" customHeight="1" x14ac:dyDescent="0.3">
      <c r="A38" s="19">
        <v>20284</v>
      </c>
      <c r="B38" s="18" t="s">
        <v>56</v>
      </c>
      <c r="C38" s="22">
        <v>46213</v>
      </c>
      <c r="D38" s="18" t="s">
        <v>58</v>
      </c>
      <c r="E38" s="18" t="s">
        <v>1707</v>
      </c>
      <c r="F38" s="25" t="s">
        <v>1708</v>
      </c>
      <c r="G38" s="18" t="s">
        <v>1709</v>
      </c>
      <c r="H38" s="22">
        <v>39137</v>
      </c>
      <c r="I38" s="18" t="s">
        <v>1710</v>
      </c>
      <c r="J38" s="25" t="s">
        <v>1711</v>
      </c>
      <c r="K38" s="18" t="s">
        <v>1713</v>
      </c>
      <c r="L38" s="18" t="s">
        <v>141</v>
      </c>
      <c r="M38" s="18" t="s">
        <v>72</v>
      </c>
      <c r="N38" s="18" t="s">
        <v>1715</v>
      </c>
      <c r="O38" s="18" t="s">
        <v>182</v>
      </c>
      <c r="P38" s="19">
        <v>0</v>
      </c>
      <c r="Q38" s="25" t="s">
        <v>1718</v>
      </c>
      <c r="R38" s="18" t="s">
        <v>1720</v>
      </c>
      <c r="S38" s="18" t="s">
        <v>1721</v>
      </c>
      <c r="T38" s="18" t="s">
        <v>813</v>
      </c>
      <c r="U38" s="18" t="s">
        <v>1687</v>
      </c>
      <c r="V38" s="18" t="s">
        <v>93</v>
      </c>
      <c r="W38" s="19">
        <v>0</v>
      </c>
      <c r="X38" s="18">
        <v>0</v>
      </c>
      <c r="Y38" s="18" t="s">
        <v>97</v>
      </c>
      <c r="Z38" s="19">
        <v>392123669</v>
      </c>
      <c r="AA38" s="18" t="s">
        <v>1707</v>
      </c>
      <c r="AB38" s="18" t="s">
        <v>1724</v>
      </c>
      <c r="AC38" s="18" t="s">
        <v>1709</v>
      </c>
      <c r="AD38" s="18" t="s">
        <v>105</v>
      </c>
      <c r="AE38" s="65" t="s">
        <v>116</v>
      </c>
      <c r="AF38" s="68">
        <v>46236</v>
      </c>
      <c r="AG38" s="69" t="s">
        <v>500</v>
      </c>
      <c r="AH38" s="29"/>
      <c r="AI38" s="18">
        <v>0</v>
      </c>
      <c r="AJ38" s="19">
        <v>714080766</v>
      </c>
      <c r="AK38" s="29" t="s">
        <v>1726</v>
      </c>
      <c r="AL38" s="29" t="s">
        <v>1727</v>
      </c>
      <c r="AM38" s="29" t="s">
        <v>1726</v>
      </c>
      <c r="AN38" s="29" t="s">
        <v>1730</v>
      </c>
      <c r="AO38" s="18" t="s">
        <v>1732</v>
      </c>
      <c r="AP38" s="29" t="s">
        <v>1734</v>
      </c>
      <c r="AQ38" s="29" t="s">
        <v>1736</v>
      </c>
      <c r="AR38" s="18" t="s">
        <v>1704</v>
      </c>
      <c r="AS38" s="18" t="s">
        <v>191</v>
      </c>
      <c r="AT38" s="44" t="s">
        <v>1301</v>
      </c>
      <c r="AU38" s="18"/>
    </row>
    <row r="39" spans="1:47" ht="15.75" customHeight="1" x14ac:dyDescent="0.3">
      <c r="A39" s="19">
        <v>20288</v>
      </c>
      <c r="B39" s="18" t="s">
        <v>57</v>
      </c>
      <c r="C39" s="22">
        <v>46213</v>
      </c>
      <c r="D39" s="18" t="s">
        <v>58</v>
      </c>
      <c r="E39" s="18" t="s">
        <v>1739</v>
      </c>
      <c r="F39" s="25" t="s">
        <v>1740</v>
      </c>
      <c r="G39" s="18" t="s">
        <v>225</v>
      </c>
      <c r="H39" s="22">
        <v>38464</v>
      </c>
      <c r="I39" s="18" t="s">
        <v>1743</v>
      </c>
      <c r="J39" s="25" t="s">
        <v>1745</v>
      </c>
      <c r="K39" s="18" t="s">
        <v>1746</v>
      </c>
      <c r="L39" s="18" t="s">
        <v>234</v>
      </c>
      <c r="M39" s="18" t="s">
        <v>72</v>
      </c>
      <c r="N39" s="18" t="s">
        <v>785</v>
      </c>
      <c r="O39" s="18" t="s">
        <v>74</v>
      </c>
      <c r="P39" s="19">
        <v>0</v>
      </c>
      <c r="Q39" s="25" t="s">
        <v>1747</v>
      </c>
      <c r="R39" s="18" t="s">
        <v>1748</v>
      </c>
      <c r="S39" s="24" t="s">
        <v>1749</v>
      </c>
      <c r="T39" s="18" t="s">
        <v>102</v>
      </c>
      <c r="U39" s="18" t="s">
        <v>286</v>
      </c>
      <c r="V39" s="18" t="s">
        <v>93</v>
      </c>
      <c r="W39" s="25" t="s">
        <v>1753</v>
      </c>
      <c r="X39" s="18" t="s">
        <v>1739</v>
      </c>
      <c r="Y39" s="18" t="s">
        <v>97</v>
      </c>
      <c r="Z39" s="19">
        <v>1483409161</v>
      </c>
      <c r="AA39" s="18" t="s">
        <v>1739</v>
      </c>
      <c r="AB39" s="18" t="s">
        <v>225</v>
      </c>
      <c r="AC39" s="18" t="s">
        <v>225</v>
      </c>
      <c r="AD39" s="18" t="s">
        <v>105</v>
      </c>
      <c r="AE39" s="65" t="s">
        <v>116</v>
      </c>
      <c r="AF39" s="68">
        <v>46236</v>
      </c>
      <c r="AG39" s="69" t="s">
        <v>500</v>
      </c>
      <c r="AH39" s="29"/>
      <c r="AI39" s="18">
        <v>24082172636</v>
      </c>
      <c r="AJ39" s="19">
        <v>0</v>
      </c>
      <c r="AK39" s="32" t="s">
        <v>1759</v>
      </c>
      <c r="AL39" s="29" t="s">
        <v>1761</v>
      </c>
      <c r="AM39" s="29" t="s">
        <v>1759</v>
      </c>
      <c r="AN39" s="29" t="s">
        <v>1763</v>
      </c>
      <c r="AO39" s="18" t="s">
        <v>1764</v>
      </c>
      <c r="AP39" s="29" t="s">
        <v>1765</v>
      </c>
      <c r="AQ39" s="29" t="s">
        <v>1766</v>
      </c>
      <c r="AR39" s="18" t="s">
        <v>1767</v>
      </c>
      <c r="AS39" s="18" t="s">
        <v>191</v>
      </c>
      <c r="AT39" s="44" t="s">
        <v>59</v>
      </c>
      <c r="AU39" s="18"/>
    </row>
    <row r="40" spans="1:47" ht="15.75" customHeight="1" x14ac:dyDescent="0.3">
      <c r="A40" s="19">
        <v>20289</v>
      </c>
      <c r="B40" s="18" t="s">
        <v>57</v>
      </c>
      <c r="C40" s="22">
        <v>46213</v>
      </c>
      <c r="D40" s="18" t="s">
        <v>58</v>
      </c>
      <c r="E40" s="18" t="s">
        <v>1769</v>
      </c>
      <c r="F40" s="25" t="s">
        <v>1770</v>
      </c>
      <c r="G40" s="18" t="s">
        <v>225</v>
      </c>
      <c r="H40" s="22">
        <v>36216</v>
      </c>
      <c r="I40" s="18" t="s">
        <v>1771</v>
      </c>
      <c r="J40" s="25" t="s">
        <v>1772</v>
      </c>
      <c r="K40" s="18" t="s">
        <v>1773</v>
      </c>
      <c r="L40" s="18" t="s">
        <v>85</v>
      </c>
      <c r="M40" s="18" t="s">
        <v>72</v>
      </c>
      <c r="N40" s="18" t="s">
        <v>1774</v>
      </c>
      <c r="O40" s="18" t="s">
        <v>182</v>
      </c>
      <c r="P40" s="19">
        <v>0</v>
      </c>
      <c r="Q40" s="25" t="s">
        <v>1775</v>
      </c>
      <c r="R40" s="18" t="s">
        <v>1776</v>
      </c>
      <c r="S40" s="18" t="s">
        <v>1777</v>
      </c>
      <c r="T40" s="18" t="s">
        <v>102</v>
      </c>
      <c r="U40" s="18" t="s">
        <v>286</v>
      </c>
      <c r="V40" s="18" t="s">
        <v>93</v>
      </c>
      <c r="W40" s="19">
        <v>139846323443000</v>
      </c>
      <c r="X40" s="18" t="s">
        <v>1769</v>
      </c>
      <c r="Y40" s="18" t="s">
        <v>97</v>
      </c>
      <c r="Z40" s="19">
        <v>1482965291</v>
      </c>
      <c r="AA40" s="18" t="s">
        <v>1769</v>
      </c>
      <c r="AB40" s="18" t="s">
        <v>1773</v>
      </c>
      <c r="AC40" s="18" t="s">
        <v>225</v>
      </c>
      <c r="AD40" s="18" t="s">
        <v>105</v>
      </c>
      <c r="AE40" s="65" t="s">
        <v>116</v>
      </c>
      <c r="AF40" s="68">
        <v>46236</v>
      </c>
      <c r="AG40" s="69" t="s">
        <v>500</v>
      </c>
      <c r="AH40" s="29"/>
      <c r="AI40" s="18">
        <v>0</v>
      </c>
      <c r="AJ40" s="19">
        <v>0</v>
      </c>
      <c r="AK40" s="29" t="s">
        <v>1778</v>
      </c>
      <c r="AL40" s="29" t="s">
        <v>1779</v>
      </c>
      <c r="AM40" s="29" t="s">
        <v>1778</v>
      </c>
      <c r="AN40" s="29" t="s">
        <v>1780</v>
      </c>
      <c r="AO40" s="18" t="s">
        <v>1781</v>
      </c>
      <c r="AP40" s="29" t="s">
        <v>1782</v>
      </c>
      <c r="AQ40" s="29" t="s">
        <v>1783</v>
      </c>
      <c r="AR40" s="18" t="s">
        <v>1767</v>
      </c>
      <c r="AS40" s="18" t="s">
        <v>191</v>
      </c>
      <c r="AT40" s="44" t="s">
        <v>59</v>
      </c>
      <c r="AU40" s="18"/>
    </row>
    <row r="41" spans="1:47" ht="15.75" customHeight="1" x14ac:dyDescent="0.3">
      <c r="A41" s="19">
        <v>20318</v>
      </c>
      <c r="B41" s="18" t="s">
        <v>56</v>
      </c>
      <c r="C41" s="22">
        <v>46213</v>
      </c>
      <c r="D41" s="18" t="s">
        <v>58</v>
      </c>
      <c r="E41" s="18" t="s">
        <v>1789</v>
      </c>
      <c r="F41" s="25" t="s">
        <v>1791</v>
      </c>
      <c r="G41" s="18" t="s">
        <v>1709</v>
      </c>
      <c r="H41" s="22">
        <v>37126</v>
      </c>
      <c r="I41" s="18" t="s">
        <v>1792</v>
      </c>
      <c r="J41" s="25" t="s">
        <v>1793</v>
      </c>
      <c r="K41" s="18" t="s">
        <v>1794</v>
      </c>
      <c r="L41" s="18" t="s">
        <v>85</v>
      </c>
      <c r="M41" s="18" t="s">
        <v>72</v>
      </c>
      <c r="N41" s="18" t="s">
        <v>1795</v>
      </c>
      <c r="O41" s="18" t="s">
        <v>182</v>
      </c>
      <c r="P41" s="19">
        <v>15279506000152</v>
      </c>
      <c r="Q41" s="25" t="s">
        <v>1798</v>
      </c>
      <c r="R41" s="18" t="s">
        <v>1800</v>
      </c>
      <c r="S41" s="18" t="s">
        <v>486</v>
      </c>
      <c r="T41" s="18" t="s">
        <v>813</v>
      </c>
      <c r="U41" s="18" t="s">
        <v>1687</v>
      </c>
      <c r="V41" s="18" t="s">
        <v>93</v>
      </c>
      <c r="W41" s="25" t="s">
        <v>1803</v>
      </c>
      <c r="X41" s="18" t="s">
        <v>1789</v>
      </c>
      <c r="Y41" s="18" t="s">
        <v>97</v>
      </c>
      <c r="Z41" s="19">
        <v>391716535</v>
      </c>
      <c r="AA41" s="18" t="s">
        <v>1789</v>
      </c>
      <c r="AB41" s="18" t="s">
        <v>1794</v>
      </c>
      <c r="AC41" s="18" t="s">
        <v>1709</v>
      </c>
      <c r="AD41" s="18" t="s">
        <v>105</v>
      </c>
      <c r="AE41" s="65" t="s">
        <v>116</v>
      </c>
      <c r="AF41" s="68">
        <v>46236</v>
      </c>
      <c r="AG41" s="69" t="s">
        <v>500</v>
      </c>
      <c r="AH41" s="29"/>
      <c r="AI41" s="18">
        <v>0</v>
      </c>
      <c r="AJ41" s="19">
        <v>112121234</v>
      </c>
      <c r="AK41" s="29" t="s">
        <v>1808</v>
      </c>
      <c r="AL41" s="29" t="s">
        <v>1809</v>
      </c>
      <c r="AM41" s="29" t="s">
        <v>1808</v>
      </c>
      <c r="AN41" s="29" t="s">
        <v>1811</v>
      </c>
      <c r="AO41" s="18" t="s">
        <v>1813</v>
      </c>
      <c r="AP41" s="29" t="s">
        <v>1814</v>
      </c>
      <c r="AQ41" s="29" t="s">
        <v>1815</v>
      </c>
      <c r="AR41" s="18" t="s">
        <v>1816</v>
      </c>
      <c r="AS41" s="18" t="s">
        <v>191</v>
      </c>
      <c r="AT41" s="44" t="s">
        <v>1301</v>
      </c>
      <c r="AU41" s="18"/>
    </row>
    <row r="42" spans="1:47" ht="15.75" customHeight="1" x14ac:dyDescent="0.3">
      <c r="A42" s="19">
        <v>20320</v>
      </c>
      <c r="B42" s="18" t="s">
        <v>56</v>
      </c>
      <c r="C42" s="22">
        <v>46213</v>
      </c>
      <c r="D42" s="18" t="s">
        <v>58</v>
      </c>
      <c r="E42" s="18" t="s">
        <v>1823</v>
      </c>
      <c r="F42" s="25" t="s">
        <v>1825</v>
      </c>
      <c r="G42" s="18" t="s">
        <v>1675</v>
      </c>
      <c r="H42" s="22">
        <v>36837</v>
      </c>
      <c r="I42" s="18" t="s">
        <v>1827</v>
      </c>
      <c r="J42" s="25" t="s">
        <v>1828</v>
      </c>
      <c r="K42" s="18" t="s">
        <v>1829</v>
      </c>
      <c r="L42" s="18" t="s">
        <v>179</v>
      </c>
      <c r="M42" s="18" t="s">
        <v>72</v>
      </c>
      <c r="N42" s="18" t="s">
        <v>1831</v>
      </c>
      <c r="O42" s="18" t="s">
        <v>74</v>
      </c>
      <c r="P42" s="19">
        <v>15609903000106</v>
      </c>
      <c r="Q42" s="25" t="s">
        <v>1833</v>
      </c>
      <c r="R42" s="18" t="s">
        <v>1835</v>
      </c>
      <c r="S42" s="18" t="s">
        <v>1837</v>
      </c>
      <c r="T42" s="18" t="s">
        <v>813</v>
      </c>
      <c r="U42" s="18" t="s">
        <v>1687</v>
      </c>
      <c r="V42" s="18" t="s">
        <v>93</v>
      </c>
      <c r="W42" s="19">
        <v>0</v>
      </c>
      <c r="X42" s="18">
        <v>0</v>
      </c>
      <c r="Y42" s="18" t="s">
        <v>97</v>
      </c>
      <c r="Z42" s="19">
        <v>391490634</v>
      </c>
      <c r="AA42" s="18" t="s">
        <v>1842</v>
      </c>
      <c r="AB42" s="18" t="s">
        <v>1829</v>
      </c>
      <c r="AC42" s="18" t="s">
        <v>1675</v>
      </c>
      <c r="AD42" s="18" t="s">
        <v>105</v>
      </c>
      <c r="AE42" s="65" t="s">
        <v>116</v>
      </c>
      <c r="AF42" s="68">
        <v>46236</v>
      </c>
      <c r="AG42" s="69" t="s">
        <v>500</v>
      </c>
      <c r="AH42" s="29"/>
      <c r="AI42" s="18">
        <v>0</v>
      </c>
      <c r="AJ42" s="19">
        <v>0</v>
      </c>
      <c r="AK42" s="32" t="s">
        <v>1846</v>
      </c>
      <c r="AL42" s="29" t="s">
        <v>1847</v>
      </c>
      <c r="AM42" s="29" t="s">
        <v>1846</v>
      </c>
      <c r="AN42" s="29" t="s">
        <v>1848</v>
      </c>
      <c r="AO42" s="18" t="s">
        <v>1849</v>
      </c>
      <c r="AP42" s="29" t="s">
        <v>1851</v>
      </c>
      <c r="AQ42" s="29" t="s">
        <v>1853</v>
      </c>
      <c r="AR42" s="18" t="s">
        <v>1816</v>
      </c>
      <c r="AS42" s="18" t="s">
        <v>191</v>
      </c>
      <c r="AT42" s="44" t="s">
        <v>1301</v>
      </c>
      <c r="AU42" s="18"/>
    </row>
    <row r="43" spans="1:47" ht="15.75" customHeight="1" x14ac:dyDescent="0.3">
      <c r="A43" s="19">
        <v>20365</v>
      </c>
      <c r="B43" s="18" t="s">
        <v>56</v>
      </c>
      <c r="C43" s="22">
        <v>46220</v>
      </c>
      <c r="D43" s="18" t="s">
        <v>58</v>
      </c>
      <c r="E43" s="18" t="s">
        <v>1859</v>
      </c>
      <c r="F43" s="25" t="s">
        <v>1860</v>
      </c>
      <c r="G43" s="18" t="s">
        <v>1861</v>
      </c>
      <c r="H43" s="22">
        <v>36601</v>
      </c>
      <c r="I43" s="18" t="s">
        <v>1862</v>
      </c>
      <c r="J43" s="25" t="s">
        <v>1863</v>
      </c>
      <c r="K43" s="18" t="s">
        <v>1865</v>
      </c>
      <c r="L43" s="18" t="s">
        <v>234</v>
      </c>
      <c r="M43" s="18" t="s">
        <v>72</v>
      </c>
      <c r="N43" s="18" t="s">
        <v>1866</v>
      </c>
      <c r="O43" s="18" t="s">
        <v>74</v>
      </c>
      <c r="P43" s="25" t="s">
        <v>1860</v>
      </c>
      <c r="Q43" s="25" t="s">
        <v>1868</v>
      </c>
      <c r="R43" s="18" t="s">
        <v>1871</v>
      </c>
      <c r="S43" s="18" t="s">
        <v>1873</v>
      </c>
      <c r="T43" s="18" t="s">
        <v>813</v>
      </c>
      <c r="U43" s="18" t="s">
        <v>1874</v>
      </c>
      <c r="V43" s="18" t="s">
        <v>93</v>
      </c>
      <c r="W43" s="19">
        <v>0</v>
      </c>
      <c r="X43" s="18">
        <v>0</v>
      </c>
      <c r="Y43" s="18" t="s">
        <v>389</v>
      </c>
      <c r="Z43" s="19">
        <v>901529504140</v>
      </c>
      <c r="AA43" s="18" t="s">
        <v>1859</v>
      </c>
      <c r="AB43" s="18" t="s">
        <v>1865</v>
      </c>
      <c r="AC43" s="18" t="s">
        <v>1879</v>
      </c>
      <c r="AD43" s="18" t="s">
        <v>105</v>
      </c>
      <c r="AE43" s="65" t="s">
        <v>116</v>
      </c>
      <c r="AF43" s="68">
        <v>46236</v>
      </c>
      <c r="AG43" s="69" t="s">
        <v>500</v>
      </c>
      <c r="AH43" s="29"/>
      <c r="AI43" s="18">
        <v>0</v>
      </c>
      <c r="AJ43" s="19">
        <v>0</v>
      </c>
      <c r="AK43" s="32" t="s">
        <v>1881</v>
      </c>
      <c r="AL43" s="29" t="s">
        <v>1882</v>
      </c>
      <c r="AM43" s="29" t="s">
        <v>1881</v>
      </c>
      <c r="AN43" s="29" t="s">
        <v>1883</v>
      </c>
      <c r="AO43" s="18" t="s">
        <v>1884</v>
      </c>
      <c r="AP43" s="29" t="s">
        <v>1885</v>
      </c>
      <c r="AQ43" s="29" t="s">
        <v>1886</v>
      </c>
      <c r="AR43" s="18" t="s">
        <v>1887</v>
      </c>
      <c r="AS43" s="18" t="s">
        <v>191</v>
      </c>
      <c r="AT43" s="44" t="s">
        <v>1301</v>
      </c>
      <c r="AU43" s="18"/>
    </row>
    <row r="44" spans="1:47" ht="15.75" customHeight="1" x14ac:dyDescent="0.3">
      <c r="A44" s="19">
        <v>20366</v>
      </c>
      <c r="B44" s="18" t="s">
        <v>56</v>
      </c>
      <c r="C44" s="22">
        <v>46220</v>
      </c>
      <c r="D44" s="18" t="s">
        <v>58</v>
      </c>
      <c r="E44" s="18" t="s">
        <v>1894</v>
      </c>
      <c r="F44" s="25" t="s">
        <v>1896</v>
      </c>
      <c r="G44" s="18" t="s">
        <v>1861</v>
      </c>
      <c r="H44" s="22">
        <v>38195</v>
      </c>
      <c r="I44" s="18" t="s">
        <v>1897</v>
      </c>
      <c r="J44" s="25" t="s">
        <v>1898</v>
      </c>
      <c r="K44" s="18" t="s">
        <v>1899</v>
      </c>
      <c r="L44" s="18" t="s">
        <v>141</v>
      </c>
      <c r="M44" s="18" t="s">
        <v>72</v>
      </c>
      <c r="N44" s="18" t="s">
        <v>955</v>
      </c>
      <c r="O44" s="18" t="s">
        <v>74</v>
      </c>
      <c r="P44" s="19">
        <v>0</v>
      </c>
      <c r="Q44" s="25" t="s">
        <v>1900</v>
      </c>
      <c r="R44" s="18" t="s">
        <v>1901</v>
      </c>
      <c r="S44" s="18" t="s">
        <v>1902</v>
      </c>
      <c r="T44" s="18" t="s">
        <v>813</v>
      </c>
      <c r="U44" s="18" t="s">
        <v>1874</v>
      </c>
      <c r="V44" s="18" t="s">
        <v>93</v>
      </c>
      <c r="W44" s="25" t="s">
        <v>1905</v>
      </c>
      <c r="X44" s="18" t="s">
        <v>1907</v>
      </c>
      <c r="Y44" s="18" t="s">
        <v>97</v>
      </c>
      <c r="Z44" s="19">
        <v>2630948854</v>
      </c>
      <c r="AA44" s="18" t="s">
        <v>1907</v>
      </c>
      <c r="AB44" s="18" t="s">
        <v>1861</v>
      </c>
      <c r="AC44" s="18" t="s">
        <v>1861</v>
      </c>
      <c r="AD44" s="18" t="s">
        <v>105</v>
      </c>
      <c r="AE44" s="65" t="s">
        <v>116</v>
      </c>
      <c r="AF44" s="68">
        <v>46236</v>
      </c>
      <c r="AG44" s="69" t="s">
        <v>500</v>
      </c>
      <c r="AH44" s="29"/>
      <c r="AI44" s="18">
        <v>0</v>
      </c>
      <c r="AJ44" s="19">
        <v>0</v>
      </c>
      <c r="AK44" s="29" t="s">
        <v>1912</v>
      </c>
      <c r="AL44" s="29" t="s">
        <v>1914</v>
      </c>
      <c r="AM44" s="29" t="s">
        <v>1912</v>
      </c>
      <c r="AN44" s="29" t="s">
        <v>1916</v>
      </c>
      <c r="AO44" s="18" t="s">
        <v>1918</v>
      </c>
      <c r="AP44" s="29" t="s">
        <v>1919</v>
      </c>
      <c r="AQ44" s="29" t="s">
        <v>1920</v>
      </c>
      <c r="AR44" s="18" t="s">
        <v>1887</v>
      </c>
      <c r="AS44" s="18" t="s">
        <v>191</v>
      </c>
      <c r="AT44" s="44" t="s">
        <v>1301</v>
      </c>
      <c r="AU44" s="18"/>
    </row>
    <row r="45" spans="1:47" ht="15.75" customHeight="1" x14ac:dyDescent="0.3">
      <c r="A45" s="19">
        <v>20396</v>
      </c>
      <c r="B45" s="18" t="s">
        <v>56</v>
      </c>
      <c r="C45" s="22">
        <v>46221</v>
      </c>
      <c r="D45" s="18" t="s">
        <v>58</v>
      </c>
      <c r="E45" s="18" t="s">
        <v>1922</v>
      </c>
      <c r="F45" s="25" t="s">
        <v>1923</v>
      </c>
      <c r="G45" s="18" t="s">
        <v>1426</v>
      </c>
      <c r="H45" s="22">
        <v>34496</v>
      </c>
      <c r="I45" s="18" t="s">
        <v>1924</v>
      </c>
      <c r="J45" s="25" t="s">
        <v>1926</v>
      </c>
      <c r="K45" s="18" t="s">
        <v>1927</v>
      </c>
      <c r="L45" s="18" t="s">
        <v>70</v>
      </c>
      <c r="M45" s="18" t="s">
        <v>72</v>
      </c>
      <c r="N45" s="18" t="s">
        <v>1238</v>
      </c>
      <c r="O45" s="18" t="s">
        <v>182</v>
      </c>
      <c r="P45" s="19">
        <v>0</v>
      </c>
      <c r="Q45" s="25" t="s">
        <v>1930</v>
      </c>
      <c r="R45" s="18" t="s">
        <v>1932</v>
      </c>
      <c r="S45" s="18" t="s">
        <v>1933</v>
      </c>
      <c r="T45" s="18" t="s">
        <v>813</v>
      </c>
      <c r="U45" s="18" t="s">
        <v>1404</v>
      </c>
      <c r="V45" s="18" t="s">
        <v>93</v>
      </c>
      <c r="W45" s="25" t="s">
        <v>1937</v>
      </c>
      <c r="X45" s="18" t="s">
        <v>1922</v>
      </c>
      <c r="Y45" s="18" t="s">
        <v>97</v>
      </c>
      <c r="Z45" s="19">
        <v>1991362067</v>
      </c>
      <c r="AA45" s="18" t="s">
        <v>1922</v>
      </c>
      <c r="AB45" s="18" t="s">
        <v>1927</v>
      </c>
      <c r="AC45" s="18" t="s">
        <v>1426</v>
      </c>
      <c r="AD45" s="18" t="s">
        <v>105</v>
      </c>
      <c r="AE45" s="65" t="s">
        <v>116</v>
      </c>
      <c r="AF45" s="68">
        <v>46236</v>
      </c>
      <c r="AG45" s="69" t="s">
        <v>500</v>
      </c>
      <c r="AH45" s="29"/>
      <c r="AI45" s="18">
        <v>0</v>
      </c>
      <c r="AJ45" s="19">
        <v>0</v>
      </c>
      <c r="AK45" s="32" t="s">
        <v>1941</v>
      </c>
      <c r="AL45" s="29" t="s">
        <v>1943</v>
      </c>
      <c r="AM45" s="29" t="s">
        <v>1941</v>
      </c>
      <c r="AN45" s="29" t="s">
        <v>1946</v>
      </c>
      <c r="AO45" s="18" t="s">
        <v>1948</v>
      </c>
      <c r="AP45" s="29" t="s">
        <v>1949</v>
      </c>
      <c r="AQ45" s="29" t="s">
        <v>1951</v>
      </c>
      <c r="AR45" s="18" t="s">
        <v>1953</v>
      </c>
      <c r="AS45" s="18" t="s">
        <v>191</v>
      </c>
      <c r="AT45" s="44" t="s">
        <v>1301</v>
      </c>
      <c r="AU45" s="18"/>
    </row>
    <row r="46" spans="1:47" ht="15.75" customHeight="1" x14ac:dyDescent="0.3">
      <c r="A46" s="73">
        <v>20397</v>
      </c>
      <c r="B46" s="65" t="s">
        <v>56</v>
      </c>
      <c r="C46" s="74">
        <v>46221</v>
      </c>
      <c r="D46" s="65" t="s">
        <v>58</v>
      </c>
      <c r="E46" s="65" t="s">
        <v>1967</v>
      </c>
      <c r="F46" s="75" t="s">
        <v>1969</v>
      </c>
      <c r="G46" s="65" t="s">
        <v>1642</v>
      </c>
      <c r="H46" s="22">
        <v>39137</v>
      </c>
      <c r="I46" s="65" t="s">
        <v>1970</v>
      </c>
      <c r="J46" s="75" t="s">
        <v>1971</v>
      </c>
      <c r="K46" s="65" t="s">
        <v>1973</v>
      </c>
      <c r="L46" s="65" t="s">
        <v>141</v>
      </c>
      <c r="M46" s="65" t="s">
        <v>72</v>
      </c>
      <c r="N46" s="65" t="s">
        <v>316</v>
      </c>
      <c r="O46" s="65" t="s">
        <v>182</v>
      </c>
      <c r="P46" s="73">
        <v>0</v>
      </c>
      <c r="Q46" s="75" t="s">
        <v>1977</v>
      </c>
      <c r="R46" s="65" t="s">
        <v>1649</v>
      </c>
      <c r="S46" s="52" t="s">
        <v>1979</v>
      </c>
      <c r="T46" s="65" t="s">
        <v>813</v>
      </c>
      <c r="U46" s="65" t="s">
        <v>1404</v>
      </c>
      <c r="V46" s="65" t="s">
        <v>93</v>
      </c>
      <c r="W46" s="73">
        <v>0</v>
      </c>
      <c r="X46" s="65">
        <v>0</v>
      </c>
      <c r="Y46" s="65" t="s">
        <v>97</v>
      </c>
      <c r="Z46" s="73">
        <v>1991899079</v>
      </c>
      <c r="AA46" s="65" t="s">
        <v>1967</v>
      </c>
      <c r="AB46" s="65" t="s">
        <v>1985</v>
      </c>
      <c r="AC46" s="65" t="s">
        <v>1986</v>
      </c>
      <c r="AD46" s="65" t="s">
        <v>105</v>
      </c>
      <c r="AE46" s="65" t="s">
        <v>116</v>
      </c>
      <c r="AF46" s="68">
        <v>46236</v>
      </c>
      <c r="AG46" s="69" t="s">
        <v>500</v>
      </c>
      <c r="AH46" s="66"/>
      <c r="AI46" s="65">
        <v>0</v>
      </c>
      <c r="AJ46" s="73">
        <v>0</v>
      </c>
      <c r="AK46" s="54" t="s">
        <v>1989</v>
      </c>
      <c r="AL46" s="54" t="s">
        <v>1991</v>
      </c>
      <c r="AM46" s="66" t="s">
        <v>1989</v>
      </c>
      <c r="AN46" s="66" t="s">
        <v>1992</v>
      </c>
      <c r="AO46" s="65" t="s">
        <v>1993</v>
      </c>
      <c r="AP46" s="66" t="s">
        <v>1994</v>
      </c>
      <c r="AQ46" s="54" t="s">
        <v>1995</v>
      </c>
      <c r="AR46" s="65" t="s">
        <v>1953</v>
      </c>
      <c r="AS46" s="65" t="s">
        <v>191</v>
      </c>
      <c r="AT46" s="76" t="s">
        <v>1301</v>
      </c>
      <c r="AU46" s="18"/>
    </row>
    <row r="47" spans="1:47" ht="15.75" customHeight="1" x14ac:dyDescent="0.3">
      <c r="A47" s="19">
        <v>20556</v>
      </c>
      <c r="B47" s="18" t="s">
        <v>56</v>
      </c>
      <c r="C47" s="22" t="s">
        <v>1531</v>
      </c>
      <c r="D47" s="18" t="s">
        <v>58</v>
      </c>
      <c r="E47" s="18" t="s">
        <v>1997</v>
      </c>
      <c r="F47" s="25" t="s">
        <v>1998</v>
      </c>
      <c r="G47" s="18" t="s">
        <v>1999</v>
      </c>
      <c r="H47" s="22">
        <v>39500</v>
      </c>
      <c r="I47" s="18" t="s">
        <v>2000</v>
      </c>
      <c r="J47" s="25" t="s">
        <v>2001</v>
      </c>
      <c r="K47" s="18" t="s">
        <v>2002</v>
      </c>
      <c r="L47" s="18" t="s">
        <v>234</v>
      </c>
      <c r="M47" s="18" t="s">
        <v>72</v>
      </c>
      <c r="N47" s="18" t="s">
        <v>2003</v>
      </c>
      <c r="O47" s="18" t="s">
        <v>182</v>
      </c>
      <c r="P47" s="19">
        <v>123480092345</v>
      </c>
      <c r="Q47" s="25" t="s">
        <v>2004</v>
      </c>
      <c r="R47" s="18" t="s">
        <v>2005</v>
      </c>
      <c r="S47" s="18" t="s">
        <v>940</v>
      </c>
      <c r="T47" s="18" t="s">
        <v>102</v>
      </c>
      <c r="U47" s="18" t="s">
        <v>2006</v>
      </c>
      <c r="V47" s="18" t="s">
        <v>93</v>
      </c>
      <c r="W47" s="19">
        <v>0</v>
      </c>
      <c r="X47" s="18">
        <v>0</v>
      </c>
      <c r="Y47" s="18" t="s">
        <v>97</v>
      </c>
      <c r="Z47" s="19">
        <v>3021365996</v>
      </c>
      <c r="AA47" s="18" t="s">
        <v>1997</v>
      </c>
      <c r="AB47" s="18" t="s">
        <v>2007</v>
      </c>
      <c r="AC47" s="18" t="s">
        <v>1999</v>
      </c>
      <c r="AD47" s="18" t="s">
        <v>105</v>
      </c>
      <c r="AE47" s="65" t="s">
        <v>116</v>
      </c>
      <c r="AF47" s="68">
        <v>46236</v>
      </c>
      <c r="AG47" s="18" t="s">
        <v>2008</v>
      </c>
      <c r="AH47" s="29"/>
      <c r="AI47" s="18">
        <v>0</v>
      </c>
      <c r="AJ47" s="19">
        <v>469329783</v>
      </c>
      <c r="AK47" s="29" t="s">
        <v>2009</v>
      </c>
      <c r="AL47" s="29" t="s">
        <v>2010</v>
      </c>
      <c r="AM47" s="29" t="s">
        <v>2009</v>
      </c>
      <c r="AN47" s="29" t="s">
        <v>2012</v>
      </c>
      <c r="AO47" s="18" t="s">
        <v>2013</v>
      </c>
      <c r="AP47" s="29" t="s">
        <v>2014</v>
      </c>
      <c r="AQ47" s="29" t="s">
        <v>2015</v>
      </c>
      <c r="AR47" s="18" t="s">
        <v>2016</v>
      </c>
      <c r="AS47" s="18" t="s">
        <v>191</v>
      </c>
      <c r="AT47" s="18" t="s">
        <v>227</v>
      </c>
      <c r="AU47" s="18"/>
    </row>
    <row r="48" spans="1:47" ht="15.75" customHeight="1" x14ac:dyDescent="0.3">
      <c r="A48" s="19">
        <v>20486</v>
      </c>
      <c r="B48" s="18" t="s">
        <v>57</v>
      </c>
      <c r="C48" s="22">
        <v>46227</v>
      </c>
      <c r="D48" s="18" t="s">
        <v>58</v>
      </c>
      <c r="E48" s="18" t="s">
        <v>2017</v>
      </c>
      <c r="F48" s="25" t="s">
        <v>2018</v>
      </c>
      <c r="G48" s="18" t="s">
        <v>225</v>
      </c>
      <c r="H48" s="22">
        <v>36119</v>
      </c>
      <c r="I48" s="18" t="s">
        <v>2019</v>
      </c>
      <c r="J48" s="25" t="s">
        <v>2020</v>
      </c>
      <c r="K48" s="18" t="s">
        <v>2021</v>
      </c>
      <c r="L48" s="18" t="s">
        <v>141</v>
      </c>
      <c r="M48" s="18" t="s">
        <v>72</v>
      </c>
      <c r="N48" s="18" t="s">
        <v>2022</v>
      </c>
      <c r="O48" s="18" t="s">
        <v>74</v>
      </c>
      <c r="P48" s="25" t="s">
        <v>2023</v>
      </c>
      <c r="Q48" s="25" t="s">
        <v>2024</v>
      </c>
      <c r="R48" s="18" t="s">
        <v>2025</v>
      </c>
      <c r="S48" s="18" t="s">
        <v>2026</v>
      </c>
      <c r="T48" s="18" t="s">
        <v>102</v>
      </c>
      <c r="U48" s="18" t="s">
        <v>286</v>
      </c>
      <c r="V48" s="18" t="s">
        <v>93</v>
      </c>
      <c r="W48" s="19">
        <v>838622355443000</v>
      </c>
      <c r="X48" s="18" t="s">
        <v>2017</v>
      </c>
      <c r="Y48" s="18" t="s">
        <v>97</v>
      </c>
      <c r="Z48" s="19">
        <v>4461369175</v>
      </c>
      <c r="AA48" s="18" t="s">
        <v>2017</v>
      </c>
      <c r="AB48" s="18" t="s">
        <v>2021</v>
      </c>
      <c r="AC48" s="18" t="s">
        <v>225</v>
      </c>
      <c r="AD48" s="18" t="s">
        <v>105</v>
      </c>
      <c r="AE48" s="65" t="s">
        <v>116</v>
      </c>
      <c r="AF48" s="68">
        <v>46236</v>
      </c>
      <c r="AG48" s="69" t="s">
        <v>500</v>
      </c>
      <c r="AH48" s="29"/>
      <c r="AI48" s="18">
        <v>0</v>
      </c>
      <c r="AJ48" s="19">
        <v>0</v>
      </c>
      <c r="AK48" s="29" t="s">
        <v>2028</v>
      </c>
      <c r="AL48" s="29" t="s">
        <v>2029</v>
      </c>
      <c r="AM48" s="29" t="s">
        <v>2028</v>
      </c>
      <c r="AN48" s="29" t="s">
        <v>2030</v>
      </c>
      <c r="AO48" s="18" t="s">
        <v>2031</v>
      </c>
      <c r="AP48" s="29" t="s">
        <v>2032</v>
      </c>
      <c r="AQ48" s="29" t="s">
        <v>2033</v>
      </c>
      <c r="AR48" s="18" t="s">
        <v>846</v>
      </c>
      <c r="AS48" s="18" t="s">
        <v>191</v>
      </c>
      <c r="AT48" s="44" t="s">
        <v>59</v>
      </c>
      <c r="AU48" s="18"/>
    </row>
    <row r="49" spans="1:47" ht="15.75" customHeight="1" x14ac:dyDescent="0.3">
      <c r="A49" s="19">
        <v>20554</v>
      </c>
      <c r="B49" s="18" t="s">
        <v>57</v>
      </c>
      <c r="C49" s="22">
        <v>46241</v>
      </c>
      <c r="D49" s="18" t="s">
        <v>58</v>
      </c>
      <c r="E49" s="18" t="s">
        <v>2034</v>
      </c>
      <c r="F49" s="25" t="s">
        <v>2035</v>
      </c>
      <c r="G49" s="18" t="s">
        <v>2036</v>
      </c>
      <c r="H49" s="22">
        <v>36789</v>
      </c>
      <c r="I49" s="18" t="s">
        <v>2037</v>
      </c>
      <c r="J49" s="25" t="s">
        <v>2038</v>
      </c>
      <c r="K49" s="18" t="s">
        <v>2039</v>
      </c>
      <c r="L49" s="18" t="s">
        <v>141</v>
      </c>
      <c r="M49" s="18" t="s">
        <v>72</v>
      </c>
      <c r="N49" s="18" t="s">
        <v>2040</v>
      </c>
      <c r="O49" s="18" t="s">
        <v>182</v>
      </c>
      <c r="P49" s="19">
        <v>0</v>
      </c>
      <c r="Q49" s="25" t="s">
        <v>2041</v>
      </c>
      <c r="R49" s="18" t="s">
        <v>2042</v>
      </c>
      <c r="S49" s="18" t="s">
        <v>2043</v>
      </c>
      <c r="T49" s="18" t="s">
        <v>102</v>
      </c>
      <c r="U49" s="18" t="s">
        <v>1239</v>
      </c>
      <c r="V49" s="18" t="s">
        <v>93</v>
      </c>
      <c r="W49" s="19">
        <v>0</v>
      </c>
      <c r="X49" s="18">
        <v>0</v>
      </c>
      <c r="Y49" s="18" t="s">
        <v>389</v>
      </c>
      <c r="Z49" s="19">
        <v>901421147179</v>
      </c>
      <c r="AA49" s="18" t="s">
        <v>2034</v>
      </c>
      <c r="AB49" s="18" t="s">
        <v>2039</v>
      </c>
      <c r="AC49" s="18" t="s">
        <v>692</v>
      </c>
      <c r="AD49" s="18" t="s">
        <v>105</v>
      </c>
      <c r="AE49" s="65" t="s">
        <v>116</v>
      </c>
      <c r="AF49" s="68">
        <v>46243</v>
      </c>
      <c r="AG49" s="18" t="s">
        <v>117</v>
      </c>
      <c r="AH49" s="29"/>
      <c r="AI49" s="18">
        <v>0</v>
      </c>
      <c r="AJ49" s="19">
        <v>0</v>
      </c>
      <c r="AK49" s="29" t="s">
        <v>2045</v>
      </c>
      <c r="AL49" s="29" t="s">
        <v>2046</v>
      </c>
      <c r="AM49" s="29" t="s">
        <v>2045</v>
      </c>
      <c r="AN49" s="29" t="s">
        <v>2047</v>
      </c>
      <c r="AO49" s="18" t="s">
        <v>2048</v>
      </c>
      <c r="AP49" s="29" t="s">
        <v>2049</v>
      </c>
      <c r="AQ49" s="29" t="s">
        <v>2050</v>
      </c>
      <c r="AR49" s="18" t="s">
        <v>2051</v>
      </c>
      <c r="AS49" s="18" t="s">
        <v>191</v>
      </c>
      <c r="AT49" s="18" t="s">
        <v>59</v>
      </c>
      <c r="AU49" s="18"/>
    </row>
    <row r="50" spans="1:47" ht="15.75" customHeight="1" x14ac:dyDescent="0.3">
      <c r="A50" s="19">
        <v>20488</v>
      </c>
      <c r="B50" s="18" t="s">
        <v>57</v>
      </c>
      <c r="C50" s="22">
        <v>46227</v>
      </c>
      <c r="D50" s="18" t="s">
        <v>58</v>
      </c>
      <c r="E50" s="18" t="s">
        <v>2053</v>
      </c>
      <c r="F50" s="25" t="s">
        <v>2054</v>
      </c>
      <c r="G50" s="18" t="s">
        <v>2055</v>
      </c>
      <c r="H50" s="22">
        <v>39848</v>
      </c>
      <c r="I50" s="18" t="s">
        <v>2056</v>
      </c>
      <c r="J50" s="25" t="s">
        <v>2057</v>
      </c>
      <c r="K50" s="18" t="s">
        <v>2058</v>
      </c>
      <c r="L50" s="18" t="s">
        <v>141</v>
      </c>
      <c r="M50" s="18" t="s">
        <v>72</v>
      </c>
      <c r="N50" s="18" t="s">
        <v>359</v>
      </c>
      <c r="O50" s="18" t="s">
        <v>182</v>
      </c>
      <c r="P50" s="19">
        <v>0</v>
      </c>
      <c r="Q50" s="25" t="s">
        <v>2059</v>
      </c>
      <c r="R50" s="18" t="s">
        <v>2060</v>
      </c>
      <c r="S50" s="18" t="s">
        <v>940</v>
      </c>
      <c r="T50" s="18" t="s">
        <v>2061</v>
      </c>
      <c r="U50" s="18" t="s">
        <v>2062</v>
      </c>
      <c r="V50" s="18" t="s">
        <v>93</v>
      </c>
      <c r="W50" s="19">
        <v>0</v>
      </c>
      <c r="X50" s="18">
        <v>0</v>
      </c>
      <c r="Y50" s="18" t="s">
        <v>389</v>
      </c>
      <c r="Z50" s="19">
        <v>901587605724</v>
      </c>
      <c r="AA50" s="18" t="s">
        <v>2060</v>
      </c>
      <c r="AB50" s="18" t="s">
        <v>2063</v>
      </c>
      <c r="AC50" s="18" t="s">
        <v>2064</v>
      </c>
      <c r="AD50" s="18" t="s">
        <v>105</v>
      </c>
      <c r="AE50" s="65" t="s">
        <v>116</v>
      </c>
      <c r="AF50" s="68">
        <v>46243</v>
      </c>
      <c r="AG50" s="69" t="s">
        <v>500</v>
      </c>
      <c r="AH50" s="29"/>
      <c r="AI50" s="18">
        <v>0</v>
      </c>
      <c r="AJ50" s="19">
        <v>0</v>
      </c>
      <c r="AK50" s="29" t="s">
        <v>2065</v>
      </c>
      <c r="AL50" s="29" t="s">
        <v>2066</v>
      </c>
      <c r="AM50" s="29" t="s">
        <v>2065</v>
      </c>
      <c r="AN50" s="29" t="s">
        <v>2067</v>
      </c>
      <c r="AO50" s="18" t="s">
        <v>2068</v>
      </c>
      <c r="AP50" s="29" t="s">
        <v>2069</v>
      </c>
      <c r="AQ50" s="29" t="s">
        <v>2070</v>
      </c>
      <c r="AR50" s="18" t="s">
        <v>2071</v>
      </c>
      <c r="AS50" s="18" t="s">
        <v>191</v>
      </c>
      <c r="AT50" s="18" t="s">
        <v>2073</v>
      </c>
      <c r="AU50" s="18"/>
    </row>
    <row r="51" spans="1:47" ht="15.75" customHeight="1" x14ac:dyDescent="0.3">
      <c r="A51" s="19">
        <v>20489</v>
      </c>
      <c r="B51" s="18" t="s">
        <v>57</v>
      </c>
      <c r="C51" s="22">
        <v>46227</v>
      </c>
      <c r="D51" s="18" t="s">
        <v>58</v>
      </c>
      <c r="E51" s="18" t="s">
        <v>2074</v>
      </c>
      <c r="F51" s="25" t="s">
        <v>2075</v>
      </c>
      <c r="G51" s="18" t="s">
        <v>2077</v>
      </c>
      <c r="H51" s="22">
        <v>35195</v>
      </c>
      <c r="I51" s="18" t="s">
        <v>2080</v>
      </c>
      <c r="J51" s="25" t="s">
        <v>2082</v>
      </c>
      <c r="K51" s="18" t="s">
        <v>2084</v>
      </c>
      <c r="L51" s="18" t="s">
        <v>179</v>
      </c>
      <c r="M51" s="18" t="s">
        <v>72</v>
      </c>
      <c r="N51" s="18">
        <v>175</v>
      </c>
      <c r="O51" s="18" t="s">
        <v>74</v>
      </c>
      <c r="P51" s="19">
        <v>0</v>
      </c>
      <c r="Q51" s="25" t="s">
        <v>2087</v>
      </c>
      <c r="R51" s="18" t="s">
        <v>2089</v>
      </c>
      <c r="S51" s="18" t="s">
        <v>676</v>
      </c>
      <c r="T51" s="18" t="s">
        <v>2061</v>
      </c>
      <c r="U51" s="18" t="s">
        <v>2062</v>
      </c>
      <c r="V51" s="18" t="s">
        <v>93</v>
      </c>
      <c r="W51" s="19">
        <v>0</v>
      </c>
      <c r="X51" s="18">
        <v>0</v>
      </c>
      <c r="Y51" s="18" t="s">
        <v>97</v>
      </c>
      <c r="Z51" s="25">
        <v>2920746261</v>
      </c>
      <c r="AA51" s="18" t="s">
        <v>2074</v>
      </c>
      <c r="AB51" s="18" t="s">
        <v>2077</v>
      </c>
      <c r="AC51" s="18" t="s">
        <v>2093</v>
      </c>
      <c r="AD51" s="18" t="s">
        <v>105</v>
      </c>
      <c r="AE51" s="65" t="s">
        <v>116</v>
      </c>
      <c r="AF51" s="68">
        <v>46243</v>
      </c>
      <c r="AG51" s="69" t="s">
        <v>500</v>
      </c>
      <c r="AH51" s="29"/>
      <c r="AI51" s="18">
        <v>0</v>
      </c>
      <c r="AJ51" s="19">
        <v>0</v>
      </c>
      <c r="AK51" s="29" t="s">
        <v>2094</v>
      </c>
      <c r="AL51" s="29" t="s">
        <v>2096</v>
      </c>
      <c r="AM51" s="29" t="s">
        <v>2094</v>
      </c>
      <c r="AN51" s="29" t="s">
        <v>2097</v>
      </c>
      <c r="AO51" s="18" t="s">
        <v>2098</v>
      </c>
      <c r="AP51" s="29" t="s">
        <v>2099</v>
      </c>
      <c r="AQ51" s="29" t="s">
        <v>2100</v>
      </c>
      <c r="AR51" s="18" t="s">
        <v>2071</v>
      </c>
      <c r="AS51" s="18" t="s">
        <v>191</v>
      </c>
      <c r="AT51" s="18" t="s">
        <v>2073</v>
      </c>
      <c r="AU51" s="18"/>
    </row>
    <row r="52" spans="1:47" ht="15.75" customHeight="1" x14ac:dyDescent="0.3">
      <c r="A52" s="19">
        <v>20422</v>
      </c>
      <c r="B52" s="18" t="s">
        <v>57</v>
      </c>
      <c r="C52" s="22">
        <v>46227</v>
      </c>
      <c r="D52" s="18" t="s">
        <v>58</v>
      </c>
      <c r="E52" s="18" t="s">
        <v>2101</v>
      </c>
      <c r="F52" s="25" t="s">
        <v>2102</v>
      </c>
      <c r="G52" s="18" t="s">
        <v>2103</v>
      </c>
      <c r="H52" s="22">
        <v>30571</v>
      </c>
      <c r="I52" s="18" t="s">
        <v>2105</v>
      </c>
      <c r="J52" s="25" t="s">
        <v>2106</v>
      </c>
      <c r="K52" s="18" t="s">
        <v>2107</v>
      </c>
      <c r="L52" s="18" t="s">
        <v>141</v>
      </c>
      <c r="M52" s="18" t="s">
        <v>72</v>
      </c>
      <c r="N52" s="18" t="s">
        <v>235</v>
      </c>
      <c r="O52" s="18" t="s">
        <v>74</v>
      </c>
      <c r="P52" s="25" t="s">
        <v>1506</v>
      </c>
      <c r="Q52" s="25" t="s">
        <v>2108</v>
      </c>
      <c r="R52" s="18" t="s">
        <v>2109</v>
      </c>
      <c r="S52" s="18" t="s">
        <v>2110</v>
      </c>
      <c r="T52" s="18" t="s">
        <v>2111</v>
      </c>
      <c r="U52" s="18" t="s">
        <v>2112</v>
      </c>
      <c r="V52" s="18" t="s">
        <v>106</v>
      </c>
      <c r="W52" s="25">
        <v>0</v>
      </c>
      <c r="X52" s="18">
        <v>0</v>
      </c>
      <c r="Y52" s="18" t="s">
        <v>97</v>
      </c>
      <c r="Z52" s="25">
        <v>8375228951</v>
      </c>
      <c r="AA52" s="18" t="s">
        <v>2101</v>
      </c>
      <c r="AB52" s="18" t="s">
        <v>2113</v>
      </c>
      <c r="AC52" s="18" t="s">
        <v>2103</v>
      </c>
      <c r="AD52" s="18" t="s">
        <v>105</v>
      </c>
      <c r="AE52" s="65" t="s">
        <v>116</v>
      </c>
      <c r="AF52" s="68">
        <v>46248</v>
      </c>
      <c r="AG52" s="69" t="s">
        <v>500</v>
      </c>
      <c r="AH52" s="29"/>
      <c r="AI52" s="18">
        <v>0</v>
      </c>
      <c r="AJ52" s="19">
        <v>0</v>
      </c>
      <c r="AK52" s="29" t="s">
        <v>2115</v>
      </c>
      <c r="AL52" s="29" t="s">
        <v>2116</v>
      </c>
      <c r="AM52" s="29" t="s">
        <v>2117</v>
      </c>
      <c r="AN52" s="29" t="s">
        <v>2118</v>
      </c>
      <c r="AO52" s="18" t="s">
        <v>2119</v>
      </c>
      <c r="AP52" s="29" t="s">
        <v>2120</v>
      </c>
      <c r="AQ52" s="29" t="s">
        <v>2121</v>
      </c>
      <c r="AR52" s="18"/>
      <c r="AS52" s="18" t="s">
        <v>191</v>
      </c>
      <c r="AT52" s="16"/>
      <c r="AU52" s="30"/>
    </row>
    <row r="53" spans="1:47" ht="15.75" customHeight="1" x14ac:dyDescent="0.3">
      <c r="A53" s="19">
        <v>20423</v>
      </c>
      <c r="B53" s="18" t="s">
        <v>57</v>
      </c>
      <c r="C53" s="22">
        <v>46227</v>
      </c>
      <c r="D53" s="18" t="s">
        <v>58</v>
      </c>
      <c r="E53" s="18" t="s">
        <v>2123</v>
      </c>
      <c r="F53" s="25" t="s">
        <v>2124</v>
      </c>
      <c r="G53" s="18" t="s">
        <v>2125</v>
      </c>
      <c r="H53" s="22">
        <v>32843</v>
      </c>
      <c r="I53" s="18" t="s">
        <v>2126</v>
      </c>
      <c r="J53" s="25" t="s">
        <v>2127</v>
      </c>
      <c r="K53" s="18" t="s">
        <v>2128</v>
      </c>
      <c r="L53" s="18" t="s">
        <v>179</v>
      </c>
      <c r="M53" s="18" t="s">
        <v>72</v>
      </c>
      <c r="N53" s="18" t="s">
        <v>2129</v>
      </c>
      <c r="O53" s="18" t="s">
        <v>74</v>
      </c>
      <c r="P53" s="25" t="s">
        <v>2130</v>
      </c>
      <c r="Q53" s="25" t="s">
        <v>2131</v>
      </c>
      <c r="R53" s="18" t="s">
        <v>2132</v>
      </c>
      <c r="S53" s="24" t="s">
        <v>2133</v>
      </c>
      <c r="T53" s="18" t="s">
        <v>2111</v>
      </c>
      <c r="U53" s="18" t="s">
        <v>2112</v>
      </c>
      <c r="V53" s="18" t="s">
        <v>93</v>
      </c>
      <c r="W53" s="25">
        <v>0</v>
      </c>
      <c r="X53" s="18">
        <v>0</v>
      </c>
      <c r="Y53" s="18" t="s">
        <v>439</v>
      </c>
      <c r="Z53" s="19">
        <v>531101030105539</v>
      </c>
      <c r="AA53" s="18" t="s">
        <v>2123</v>
      </c>
      <c r="AB53" s="18" t="s">
        <v>2125</v>
      </c>
      <c r="AC53" s="18" t="s">
        <v>2112</v>
      </c>
      <c r="AD53" s="18" t="s">
        <v>105</v>
      </c>
      <c r="AE53" s="65" t="s">
        <v>116</v>
      </c>
      <c r="AF53" s="68">
        <v>46248</v>
      </c>
      <c r="AG53" s="69" t="s">
        <v>500</v>
      </c>
      <c r="AH53" s="29"/>
      <c r="AI53" s="18">
        <v>0</v>
      </c>
      <c r="AJ53" s="19">
        <v>0</v>
      </c>
      <c r="AK53" s="29" t="s">
        <v>2135</v>
      </c>
      <c r="AL53" s="29" t="s">
        <v>2136</v>
      </c>
      <c r="AM53" s="29" t="s">
        <v>2137</v>
      </c>
      <c r="AN53" s="29" t="s">
        <v>2138</v>
      </c>
      <c r="AO53" s="18" t="s">
        <v>2139</v>
      </c>
      <c r="AP53" s="29" t="s">
        <v>2140</v>
      </c>
      <c r="AQ53" s="29" t="s">
        <v>2141</v>
      </c>
      <c r="AR53" s="18" t="s">
        <v>2142</v>
      </c>
      <c r="AS53" s="18" t="s">
        <v>191</v>
      </c>
      <c r="AT53" s="18" t="s">
        <v>2073</v>
      </c>
      <c r="AU53" s="30"/>
    </row>
    <row r="54" spans="1:47" ht="15.75" customHeight="1" x14ac:dyDescent="0.3">
      <c r="A54" s="19">
        <v>20424</v>
      </c>
      <c r="B54" s="18" t="s">
        <v>57</v>
      </c>
      <c r="C54" s="22">
        <v>46227</v>
      </c>
      <c r="D54" s="18" t="s">
        <v>58</v>
      </c>
      <c r="E54" s="18" t="s">
        <v>2143</v>
      </c>
      <c r="F54" s="25" t="s">
        <v>2144</v>
      </c>
      <c r="G54" s="18" t="s">
        <v>2103</v>
      </c>
      <c r="H54" s="22">
        <v>37342</v>
      </c>
      <c r="I54" s="18" t="s">
        <v>2145</v>
      </c>
      <c r="J54" s="25" t="s">
        <v>2146</v>
      </c>
      <c r="K54" s="18" t="s">
        <v>2147</v>
      </c>
      <c r="L54" s="18" t="s">
        <v>234</v>
      </c>
      <c r="M54" s="18" t="s">
        <v>72</v>
      </c>
      <c r="N54" s="18" t="s">
        <v>955</v>
      </c>
      <c r="O54" s="18" t="s">
        <v>92</v>
      </c>
      <c r="P54" s="25" t="s">
        <v>2149</v>
      </c>
      <c r="Q54" s="25" t="s">
        <v>2150</v>
      </c>
      <c r="R54" s="18" t="s">
        <v>2151</v>
      </c>
      <c r="S54" s="18" t="s">
        <v>2152</v>
      </c>
      <c r="T54" s="18" t="s">
        <v>2111</v>
      </c>
      <c r="U54" s="18" t="s">
        <v>2112</v>
      </c>
      <c r="V54" s="18" t="s">
        <v>93</v>
      </c>
      <c r="W54" s="25">
        <v>0</v>
      </c>
      <c r="X54" s="18">
        <v>0</v>
      </c>
      <c r="Y54" s="18" t="s">
        <v>389</v>
      </c>
      <c r="Z54" s="19">
        <v>901790538569</v>
      </c>
      <c r="AA54" s="18" t="s">
        <v>2143</v>
      </c>
      <c r="AB54" s="18" t="s">
        <v>2147</v>
      </c>
      <c r="AC54" s="18" t="s">
        <v>2111</v>
      </c>
      <c r="AD54" s="18" t="s">
        <v>105</v>
      </c>
      <c r="AE54" s="65" t="s">
        <v>116</v>
      </c>
      <c r="AF54" s="68">
        <v>46248</v>
      </c>
      <c r="AG54" s="69" t="s">
        <v>500</v>
      </c>
      <c r="AH54" s="29"/>
      <c r="AI54" s="18">
        <v>0</v>
      </c>
      <c r="AJ54" s="19">
        <v>0</v>
      </c>
      <c r="AK54" s="29" t="s">
        <v>2153</v>
      </c>
      <c r="AL54" s="29" t="s">
        <v>2154</v>
      </c>
      <c r="AM54" s="29" t="s">
        <v>2155</v>
      </c>
      <c r="AN54" s="29" t="s">
        <v>2156</v>
      </c>
      <c r="AO54" s="18" t="s">
        <v>2157</v>
      </c>
      <c r="AP54" s="29" t="s">
        <v>2158</v>
      </c>
      <c r="AQ54" s="29" t="s">
        <v>2159</v>
      </c>
      <c r="AR54" s="18" t="s">
        <v>2160</v>
      </c>
      <c r="AS54" s="18" t="s">
        <v>191</v>
      </c>
      <c r="AT54" s="18" t="s">
        <v>2073</v>
      </c>
      <c r="AU54" s="30"/>
    </row>
    <row r="55" spans="1:47" ht="15.75" customHeight="1" x14ac:dyDescent="0.3">
      <c r="A55" s="19">
        <v>20425</v>
      </c>
      <c r="B55" s="18" t="s">
        <v>57</v>
      </c>
      <c r="C55" s="22">
        <v>46227</v>
      </c>
      <c r="D55" s="18" t="s">
        <v>58</v>
      </c>
      <c r="E55" s="18" t="s">
        <v>2161</v>
      </c>
      <c r="F55" s="25" t="s">
        <v>2163</v>
      </c>
      <c r="G55" s="18" t="s">
        <v>2103</v>
      </c>
      <c r="H55" s="22">
        <v>34269</v>
      </c>
      <c r="I55" s="18" t="s">
        <v>2164</v>
      </c>
      <c r="J55" s="25" t="s">
        <v>2165</v>
      </c>
      <c r="K55" s="18" t="s">
        <v>2166</v>
      </c>
      <c r="L55" s="18" t="s">
        <v>141</v>
      </c>
      <c r="M55" s="18" t="s">
        <v>72</v>
      </c>
      <c r="N55" s="18" t="s">
        <v>2167</v>
      </c>
      <c r="O55" s="18" t="s">
        <v>182</v>
      </c>
      <c r="P55" s="25" t="s">
        <v>184</v>
      </c>
      <c r="Q55" s="25" t="s">
        <v>2168</v>
      </c>
      <c r="R55" s="18" t="s">
        <v>2151</v>
      </c>
      <c r="S55" s="18" t="s">
        <v>2169</v>
      </c>
      <c r="T55" s="18" t="s">
        <v>2111</v>
      </c>
      <c r="U55" s="18" t="s">
        <v>2112</v>
      </c>
      <c r="V55" s="18" t="s">
        <v>93</v>
      </c>
      <c r="W55" s="25">
        <v>0</v>
      </c>
      <c r="X55" s="18">
        <v>0</v>
      </c>
      <c r="Y55" s="18" t="s">
        <v>97</v>
      </c>
      <c r="Z55" s="25">
        <v>8430611721</v>
      </c>
      <c r="AA55" s="18" t="s">
        <v>2161</v>
      </c>
      <c r="AB55" s="18" t="s">
        <v>2166</v>
      </c>
      <c r="AC55" s="18" t="s">
        <v>2103</v>
      </c>
      <c r="AD55" s="18" t="s">
        <v>105</v>
      </c>
      <c r="AE55" s="65" t="s">
        <v>116</v>
      </c>
      <c r="AF55" s="68">
        <v>46248</v>
      </c>
      <c r="AG55" s="69" t="s">
        <v>500</v>
      </c>
      <c r="AH55" s="29"/>
      <c r="AI55" s="18">
        <v>0</v>
      </c>
      <c r="AJ55" s="19">
        <v>0</v>
      </c>
      <c r="AK55" s="29" t="s">
        <v>2170</v>
      </c>
      <c r="AL55" s="29" t="s">
        <v>2171</v>
      </c>
      <c r="AM55" s="29" t="s">
        <v>2172</v>
      </c>
      <c r="AN55" s="29" t="s">
        <v>2173</v>
      </c>
      <c r="AO55" s="18" t="s">
        <v>2174</v>
      </c>
      <c r="AP55" s="29" t="s">
        <v>2175</v>
      </c>
      <c r="AQ55" s="29" t="s">
        <v>2176</v>
      </c>
      <c r="AR55" s="18" t="s">
        <v>2160</v>
      </c>
      <c r="AS55" s="18" t="s">
        <v>191</v>
      </c>
      <c r="AT55" s="18" t="s">
        <v>2073</v>
      </c>
      <c r="AU55" s="30"/>
    </row>
    <row r="56" spans="1:47" ht="15.75" customHeight="1" x14ac:dyDescent="0.3">
      <c r="A56" s="19">
        <v>20426</v>
      </c>
      <c r="B56" s="18" t="s">
        <v>57</v>
      </c>
      <c r="C56" s="22">
        <v>46227</v>
      </c>
      <c r="D56" s="18" t="s">
        <v>58</v>
      </c>
      <c r="E56" s="18" t="s">
        <v>2177</v>
      </c>
      <c r="F56" s="25" t="s">
        <v>2178</v>
      </c>
      <c r="G56" s="18" t="s">
        <v>2179</v>
      </c>
      <c r="H56" s="22">
        <v>36838</v>
      </c>
      <c r="I56" s="18" t="s">
        <v>2180</v>
      </c>
      <c r="J56" s="25" t="s">
        <v>2181</v>
      </c>
      <c r="K56" s="18" t="s">
        <v>2182</v>
      </c>
      <c r="L56" s="18" t="s">
        <v>85</v>
      </c>
      <c r="M56" s="18" t="s">
        <v>72</v>
      </c>
      <c r="N56" s="18" t="s">
        <v>2183</v>
      </c>
      <c r="O56" s="18" t="s">
        <v>182</v>
      </c>
      <c r="P56" s="25" t="s">
        <v>184</v>
      </c>
      <c r="Q56" s="25" t="s">
        <v>2184</v>
      </c>
      <c r="R56" s="18" t="s">
        <v>2177</v>
      </c>
      <c r="S56" s="18" t="s">
        <v>2185</v>
      </c>
      <c r="T56" s="18" t="s">
        <v>2111</v>
      </c>
      <c r="U56" s="18" t="s">
        <v>2112</v>
      </c>
      <c r="V56" s="18" t="s">
        <v>93</v>
      </c>
      <c r="W56" s="25">
        <v>0</v>
      </c>
      <c r="X56" s="18">
        <v>0</v>
      </c>
      <c r="Y56" s="18" t="s">
        <v>229</v>
      </c>
      <c r="Z56" s="19">
        <v>1060018343437</v>
      </c>
      <c r="AA56" s="18" t="s">
        <v>2177</v>
      </c>
      <c r="AB56" s="18" t="s">
        <v>2186</v>
      </c>
      <c r="AC56" s="18" t="s">
        <v>2187</v>
      </c>
      <c r="AD56" s="18" t="s">
        <v>105</v>
      </c>
      <c r="AE56" s="65" t="s">
        <v>116</v>
      </c>
      <c r="AF56" s="68">
        <v>46248</v>
      </c>
      <c r="AG56" s="69" t="s">
        <v>500</v>
      </c>
      <c r="AH56" s="29"/>
      <c r="AI56" s="18">
        <v>0</v>
      </c>
      <c r="AJ56" s="19">
        <v>0</v>
      </c>
      <c r="AK56" s="29" t="s">
        <v>2188</v>
      </c>
      <c r="AL56" s="29" t="s">
        <v>2189</v>
      </c>
      <c r="AM56" s="29" t="s">
        <v>2190</v>
      </c>
      <c r="AN56" s="29" t="s">
        <v>2191</v>
      </c>
      <c r="AO56" s="18" t="s">
        <v>2192</v>
      </c>
      <c r="AP56" s="29" t="s">
        <v>2193</v>
      </c>
      <c r="AQ56" s="29" t="s">
        <v>2194</v>
      </c>
      <c r="AR56" s="18" t="s">
        <v>2195</v>
      </c>
      <c r="AS56" s="18" t="s">
        <v>191</v>
      </c>
      <c r="AT56" s="18" t="s">
        <v>2073</v>
      </c>
      <c r="AU56" s="30"/>
    </row>
    <row r="57" spans="1:47" ht="15.75" customHeight="1" x14ac:dyDescent="0.3">
      <c r="A57" s="19">
        <v>20431</v>
      </c>
      <c r="B57" s="18" t="s">
        <v>57</v>
      </c>
      <c r="C57" s="22">
        <v>46227</v>
      </c>
      <c r="D57" s="18" t="s">
        <v>58</v>
      </c>
      <c r="E57" s="18" t="s">
        <v>2196</v>
      </c>
      <c r="F57" s="25" t="s">
        <v>2197</v>
      </c>
      <c r="G57" s="18" t="s">
        <v>2103</v>
      </c>
      <c r="H57" s="22">
        <v>34629</v>
      </c>
      <c r="I57" s="18" t="s">
        <v>2198</v>
      </c>
      <c r="J57" s="25" t="s">
        <v>2199</v>
      </c>
      <c r="K57" s="18" t="s">
        <v>2200</v>
      </c>
      <c r="L57" s="18" t="s">
        <v>234</v>
      </c>
      <c r="M57" s="18" t="s">
        <v>72</v>
      </c>
      <c r="N57" s="18" t="s">
        <v>2201</v>
      </c>
      <c r="O57" s="18" t="s">
        <v>74</v>
      </c>
      <c r="P57" s="25" t="s">
        <v>184</v>
      </c>
      <c r="Q57" s="25" t="s">
        <v>2202</v>
      </c>
      <c r="R57" s="18" t="s">
        <v>2203</v>
      </c>
      <c r="S57" s="18" t="s">
        <v>2204</v>
      </c>
      <c r="T57" s="18" t="s">
        <v>2111</v>
      </c>
      <c r="U57" s="18" t="s">
        <v>2112</v>
      </c>
      <c r="V57" s="18" t="s">
        <v>93</v>
      </c>
      <c r="W57" s="25">
        <v>0</v>
      </c>
      <c r="X57" s="18">
        <v>0</v>
      </c>
      <c r="Y57" s="18" t="s">
        <v>229</v>
      </c>
      <c r="Z57" s="19">
        <v>1060013583409</v>
      </c>
      <c r="AA57" s="18" t="s">
        <v>2196</v>
      </c>
      <c r="AB57" s="18" t="s">
        <v>2205</v>
      </c>
      <c r="AC57" s="18" t="s">
        <v>2103</v>
      </c>
      <c r="AD57" s="18" t="s">
        <v>991</v>
      </c>
      <c r="AE57" s="65" t="s">
        <v>116</v>
      </c>
      <c r="AF57" s="68">
        <v>46248</v>
      </c>
      <c r="AG57" s="69" t="s">
        <v>500</v>
      </c>
      <c r="AH57" s="29"/>
      <c r="AI57" s="18">
        <v>0</v>
      </c>
      <c r="AJ57" s="19">
        <v>0</v>
      </c>
      <c r="AK57" s="33" t="s">
        <v>2206</v>
      </c>
      <c r="AL57" s="29" t="s">
        <v>2207</v>
      </c>
      <c r="AM57" s="29" t="s">
        <v>2208</v>
      </c>
      <c r="AN57" s="29" t="s">
        <v>2209</v>
      </c>
      <c r="AO57" s="18" t="s">
        <v>2210</v>
      </c>
      <c r="AP57" s="29" t="s">
        <v>2211</v>
      </c>
      <c r="AQ57" s="29" t="s">
        <v>2212</v>
      </c>
      <c r="AR57" s="18" t="s">
        <v>2213</v>
      </c>
      <c r="AS57" s="18" t="s">
        <v>191</v>
      </c>
      <c r="AT57" s="18" t="s">
        <v>2073</v>
      </c>
      <c r="AU57" s="30"/>
    </row>
    <row r="58" spans="1:47" ht="15.75" customHeight="1" x14ac:dyDescent="0.3">
      <c r="A58" s="19">
        <v>20432</v>
      </c>
      <c r="B58" s="18" t="s">
        <v>57</v>
      </c>
      <c r="C58" s="22">
        <v>46227</v>
      </c>
      <c r="D58" s="18" t="s">
        <v>58</v>
      </c>
      <c r="E58" s="18" t="s">
        <v>2214</v>
      </c>
      <c r="F58" s="25" t="s">
        <v>2215</v>
      </c>
      <c r="G58" s="18" t="s">
        <v>2103</v>
      </c>
      <c r="H58" s="22">
        <v>34701</v>
      </c>
      <c r="I58" s="18" t="s">
        <v>2216</v>
      </c>
      <c r="J58" s="25" t="s">
        <v>2217</v>
      </c>
      <c r="K58" s="18" t="s">
        <v>2218</v>
      </c>
      <c r="L58" s="18" t="s">
        <v>179</v>
      </c>
      <c r="M58" s="18" t="s">
        <v>72</v>
      </c>
      <c r="N58" s="18" t="s">
        <v>1238</v>
      </c>
      <c r="O58" s="18" t="s">
        <v>182</v>
      </c>
      <c r="P58" s="25" t="s">
        <v>2219</v>
      </c>
      <c r="Q58" s="25" t="s">
        <v>2220</v>
      </c>
      <c r="R58" s="18" t="s">
        <v>2221</v>
      </c>
      <c r="S58" s="18" t="s">
        <v>2222</v>
      </c>
      <c r="T58" s="18" t="s">
        <v>2111</v>
      </c>
      <c r="U58" s="18" t="s">
        <v>2112</v>
      </c>
      <c r="V58" s="18" t="s">
        <v>93</v>
      </c>
      <c r="W58" s="25">
        <v>0</v>
      </c>
      <c r="X58" s="18">
        <v>0</v>
      </c>
      <c r="Y58" s="18" t="s">
        <v>97</v>
      </c>
      <c r="Z58" s="25">
        <v>8280364224</v>
      </c>
      <c r="AA58" s="18" t="s">
        <v>2214</v>
      </c>
      <c r="AB58" s="18" t="s">
        <v>2223</v>
      </c>
      <c r="AC58" s="18" t="s">
        <v>2103</v>
      </c>
      <c r="AD58" s="18" t="s">
        <v>105</v>
      </c>
      <c r="AE58" s="65" t="s">
        <v>116</v>
      </c>
      <c r="AF58" s="68">
        <v>46248</v>
      </c>
      <c r="AG58" s="69" t="s">
        <v>500</v>
      </c>
      <c r="AH58" s="29"/>
      <c r="AI58" s="18">
        <v>0</v>
      </c>
      <c r="AJ58" s="19">
        <v>0</v>
      </c>
      <c r="AK58" s="33" t="s">
        <v>2224</v>
      </c>
      <c r="AL58" s="29" t="s">
        <v>2225</v>
      </c>
      <c r="AM58" s="29" t="s">
        <v>2226</v>
      </c>
      <c r="AN58" s="29" t="s">
        <v>2227</v>
      </c>
      <c r="AO58" s="18" t="s">
        <v>2228</v>
      </c>
      <c r="AP58" s="29" t="s">
        <v>2229</v>
      </c>
      <c r="AQ58" s="29" t="s">
        <v>2230</v>
      </c>
      <c r="AR58" s="18" t="s">
        <v>2213</v>
      </c>
      <c r="AS58" s="18" t="s">
        <v>191</v>
      </c>
      <c r="AT58" s="18" t="s">
        <v>2073</v>
      </c>
      <c r="AU58" s="30"/>
    </row>
    <row r="59" spans="1:47" ht="15.75" customHeight="1" x14ac:dyDescent="0.3">
      <c r="A59" s="19">
        <v>20433</v>
      </c>
      <c r="B59" s="18" t="s">
        <v>57</v>
      </c>
      <c r="C59" s="22">
        <v>46227</v>
      </c>
      <c r="D59" s="18" t="s">
        <v>58</v>
      </c>
      <c r="E59" s="18" t="s">
        <v>2231</v>
      </c>
      <c r="F59" s="25" t="s">
        <v>2232</v>
      </c>
      <c r="G59" s="18" t="s">
        <v>2233</v>
      </c>
      <c r="H59" s="22">
        <v>35259</v>
      </c>
      <c r="I59" s="18" t="s">
        <v>2234</v>
      </c>
      <c r="J59" s="25" t="s">
        <v>2235</v>
      </c>
      <c r="K59" s="18" t="s">
        <v>2236</v>
      </c>
      <c r="L59" s="18" t="s">
        <v>234</v>
      </c>
      <c r="M59" s="18" t="s">
        <v>72</v>
      </c>
      <c r="N59" s="18" t="s">
        <v>273</v>
      </c>
      <c r="O59" s="18" t="s">
        <v>74</v>
      </c>
      <c r="P59" s="25" t="s">
        <v>2238</v>
      </c>
      <c r="Q59" s="25" t="s">
        <v>2239</v>
      </c>
      <c r="R59" s="18" t="s">
        <v>2240</v>
      </c>
      <c r="S59" s="24" t="s">
        <v>2241</v>
      </c>
      <c r="T59" s="18" t="s">
        <v>2111</v>
      </c>
      <c r="U59" s="18" t="s">
        <v>2112</v>
      </c>
      <c r="V59" s="18" t="s">
        <v>93</v>
      </c>
      <c r="W59" s="25" t="s">
        <v>2242</v>
      </c>
      <c r="X59" s="18">
        <v>0</v>
      </c>
      <c r="Y59" s="18" t="s">
        <v>97</v>
      </c>
      <c r="Z59" s="25">
        <v>8305546875</v>
      </c>
      <c r="AA59" s="18" t="s">
        <v>2231</v>
      </c>
      <c r="AB59" s="18" t="s">
        <v>2236</v>
      </c>
      <c r="AC59" s="18" t="s">
        <v>2103</v>
      </c>
      <c r="AD59" s="18" t="s">
        <v>105</v>
      </c>
      <c r="AE59" s="65" t="s">
        <v>116</v>
      </c>
      <c r="AF59" s="68">
        <v>46248</v>
      </c>
      <c r="AG59" s="69" t="s">
        <v>500</v>
      </c>
      <c r="AH59" s="29"/>
      <c r="AI59" s="18">
        <v>0</v>
      </c>
      <c r="AJ59" s="19">
        <v>0</v>
      </c>
      <c r="AK59" s="29" t="s">
        <v>2243</v>
      </c>
      <c r="AL59" s="29" t="s">
        <v>2244</v>
      </c>
      <c r="AM59" s="29" t="s">
        <v>2245</v>
      </c>
      <c r="AN59" s="29" t="s">
        <v>2246</v>
      </c>
      <c r="AO59" s="18" t="s">
        <v>2247</v>
      </c>
      <c r="AP59" s="29" t="s">
        <v>2248</v>
      </c>
      <c r="AQ59" s="29" t="s">
        <v>2249</v>
      </c>
      <c r="AR59" s="18" t="s">
        <v>2142</v>
      </c>
      <c r="AS59" s="18" t="s">
        <v>191</v>
      </c>
      <c r="AT59" s="18" t="s">
        <v>2073</v>
      </c>
      <c r="AU59" s="30"/>
    </row>
    <row r="60" spans="1:47" ht="15.75" customHeight="1" x14ac:dyDescent="0.3">
      <c r="A60" s="19">
        <v>20434</v>
      </c>
      <c r="B60" s="18" t="s">
        <v>57</v>
      </c>
      <c r="C60" s="22">
        <v>46227</v>
      </c>
      <c r="D60" s="18" t="s">
        <v>58</v>
      </c>
      <c r="E60" s="18" t="s">
        <v>2250</v>
      </c>
      <c r="F60" s="25" t="s">
        <v>2251</v>
      </c>
      <c r="G60" s="18" t="s">
        <v>2103</v>
      </c>
      <c r="H60" s="22">
        <v>32458</v>
      </c>
      <c r="I60" s="18" t="s">
        <v>2252</v>
      </c>
      <c r="J60" s="25" t="s">
        <v>2253</v>
      </c>
      <c r="K60" s="18" t="s">
        <v>2255</v>
      </c>
      <c r="L60" s="18" t="s">
        <v>179</v>
      </c>
      <c r="M60" s="18" t="s">
        <v>87</v>
      </c>
      <c r="N60" s="18">
        <v>158</v>
      </c>
      <c r="O60" s="18" t="s">
        <v>74</v>
      </c>
      <c r="P60" s="25" t="s">
        <v>184</v>
      </c>
      <c r="Q60" s="25" t="s">
        <v>2256</v>
      </c>
      <c r="R60" s="18" t="s">
        <v>2257</v>
      </c>
      <c r="S60" s="18" t="s">
        <v>676</v>
      </c>
      <c r="T60" s="18" t="s">
        <v>2111</v>
      </c>
      <c r="U60" s="18" t="s">
        <v>2112</v>
      </c>
      <c r="V60" s="18" t="s">
        <v>93</v>
      </c>
      <c r="W60" s="25" t="s">
        <v>2258</v>
      </c>
      <c r="X60" s="18">
        <v>0</v>
      </c>
      <c r="Y60" s="18" t="s">
        <v>229</v>
      </c>
      <c r="Z60" s="19">
        <v>1060016297346</v>
      </c>
      <c r="AA60" s="18" t="s">
        <v>2250</v>
      </c>
      <c r="AB60" s="18" t="s">
        <v>2259</v>
      </c>
      <c r="AC60" s="18" t="s">
        <v>2103</v>
      </c>
      <c r="AD60" s="18" t="s">
        <v>105</v>
      </c>
      <c r="AE60" s="65" t="s">
        <v>116</v>
      </c>
      <c r="AF60" s="68">
        <v>46248</v>
      </c>
      <c r="AG60" s="69" t="s">
        <v>500</v>
      </c>
      <c r="AH60" s="29"/>
      <c r="AI60" s="18">
        <v>0</v>
      </c>
      <c r="AJ60" s="19">
        <v>0</v>
      </c>
      <c r="AK60" s="29" t="s">
        <v>2260</v>
      </c>
      <c r="AL60" s="29" t="s">
        <v>2261</v>
      </c>
      <c r="AM60" s="29" t="s">
        <v>2262</v>
      </c>
      <c r="AN60" s="29" t="s">
        <v>2263</v>
      </c>
      <c r="AO60" s="18" t="s">
        <v>2264</v>
      </c>
      <c r="AP60" s="29" t="s">
        <v>2265</v>
      </c>
      <c r="AQ60" s="29" t="s">
        <v>2266</v>
      </c>
      <c r="AR60" s="18" t="s">
        <v>2195</v>
      </c>
      <c r="AS60" s="18" t="s">
        <v>191</v>
      </c>
      <c r="AT60" s="18" t="s">
        <v>2073</v>
      </c>
      <c r="AU60" s="30"/>
    </row>
    <row r="61" spans="1:47" ht="15.75" customHeight="1" x14ac:dyDescent="0.3">
      <c r="A61" s="19">
        <v>20490</v>
      </c>
      <c r="B61" s="18" t="s">
        <v>56</v>
      </c>
      <c r="C61" s="22">
        <v>46241</v>
      </c>
      <c r="D61" s="18" t="s">
        <v>58</v>
      </c>
      <c r="E61" s="18" t="s">
        <v>2267</v>
      </c>
      <c r="F61" s="25" t="s">
        <v>2268</v>
      </c>
      <c r="G61" s="18" t="s">
        <v>1976</v>
      </c>
      <c r="H61" s="22">
        <v>34622</v>
      </c>
      <c r="I61" s="18" t="s">
        <v>2269</v>
      </c>
      <c r="J61" s="25" t="s">
        <v>2270</v>
      </c>
      <c r="K61" s="18" t="s">
        <v>2271</v>
      </c>
      <c r="L61" s="18" t="s">
        <v>179</v>
      </c>
      <c r="M61" s="18" t="s">
        <v>72</v>
      </c>
      <c r="N61" s="18" t="s">
        <v>2272</v>
      </c>
      <c r="O61" s="18" t="s">
        <v>74</v>
      </c>
      <c r="P61" s="25" t="s">
        <v>2273</v>
      </c>
      <c r="Q61" s="25" t="s">
        <v>2274</v>
      </c>
      <c r="R61" s="18" t="s">
        <v>2275</v>
      </c>
      <c r="S61" s="18" t="s">
        <v>2276</v>
      </c>
      <c r="T61" s="18" t="s">
        <v>90</v>
      </c>
      <c r="U61" s="18" t="s">
        <v>2277</v>
      </c>
      <c r="V61" s="18" t="s">
        <v>93</v>
      </c>
      <c r="W61" s="25">
        <v>0</v>
      </c>
      <c r="X61" s="18">
        <v>0</v>
      </c>
      <c r="Y61" s="18" t="s">
        <v>97</v>
      </c>
      <c r="Z61" s="25">
        <v>3540587697</v>
      </c>
      <c r="AA61" s="18" t="s">
        <v>2267</v>
      </c>
      <c r="AB61" s="18" t="s">
        <v>2278</v>
      </c>
      <c r="AC61" s="18" t="s">
        <v>1976</v>
      </c>
      <c r="AD61" s="18" t="s">
        <v>105</v>
      </c>
      <c r="AE61" s="65" t="s">
        <v>116</v>
      </c>
      <c r="AF61" s="68">
        <v>46260</v>
      </c>
      <c r="AG61" s="18" t="s">
        <v>117</v>
      </c>
      <c r="AH61" s="29"/>
      <c r="AI61" s="18">
        <v>0</v>
      </c>
      <c r="AJ61" s="19">
        <v>0</v>
      </c>
      <c r="AK61" s="29" t="s">
        <v>2279</v>
      </c>
      <c r="AL61" s="29" t="s">
        <v>2280</v>
      </c>
      <c r="AM61" s="29" t="s">
        <v>2281</v>
      </c>
      <c r="AN61" s="29" t="s">
        <v>2282</v>
      </c>
      <c r="AO61" s="18" t="s">
        <v>2283</v>
      </c>
      <c r="AP61" s="29" t="s">
        <v>2284</v>
      </c>
      <c r="AQ61" s="29" t="s">
        <v>2285</v>
      </c>
      <c r="AR61" s="18" t="s">
        <v>2072</v>
      </c>
      <c r="AS61" s="18" t="s">
        <v>191</v>
      </c>
      <c r="AT61" s="18" t="s">
        <v>227</v>
      </c>
      <c r="AU61" s="80" t="s">
        <v>1974</v>
      </c>
    </row>
    <row r="62" spans="1:47" ht="15.75" customHeight="1" x14ac:dyDescent="0.3">
      <c r="A62" s="19">
        <v>20956</v>
      </c>
      <c r="B62" s="18" t="s">
        <v>56</v>
      </c>
      <c r="C62" s="22" t="s">
        <v>1903</v>
      </c>
      <c r="D62" s="22" t="s">
        <v>58</v>
      </c>
      <c r="E62" s="18" t="s">
        <v>2286</v>
      </c>
      <c r="F62" s="25" t="s">
        <v>2287</v>
      </c>
      <c r="G62" s="25" t="s">
        <v>1987</v>
      </c>
      <c r="H62" s="22">
        <v>35987</v>
      </c>
      <c r="I62" s="22" t="s">
        <v>2288</v>
      </c>
      <c r="J62" s="25" t="s">
        <v>2289</v>
      </c>
      <c r="K62" s="25" t="s">
        <v>2290</v>
      </c>
      <c r="L62" s="18" t="s">
        <v>179</v>
      </c>
      <c r="M62" s="18" t="s">
        <v>72</v>
      </c>
      <c r="N62" s="18" t="s">
        <v>1109</v>
      </c>
      <c r="O62" s="18" t="s">
        <v>182</v>
      </c>
      <c r="P62" s="25" t="s">
        <v>2287</v>
      </c>
      <c r="Q62" s="19">
        <v>3316052807170000</v>
      </c>
      <c r="R62" s="25" t="s">
        <v>2291</v>
      </c>
      <c r="S62" s="18" t="s">
        <v>2292</v>
      </c>
      <c r="T62" s="18" t="s">
        <v>90</v>
      </c>
      <c r="U62" s="18" t="s">
        <v>2277</v>
      </c>
      <c r="V62" s="18" t="s">
        <v>93</v>
      </c>
      <c r="W62" s="25">
        <v>0</v>
      </c>
      <c r="X62" s="19">
        <v>0</v>
      </c>
      <c r="Y62" s="18" t="s">
        <v>439</v>
      </c>
      <c r="Z62" s="18">
        <v>378501002016525</v>
      </c>
      <c r="AA62" s="25" t="s">
        <v>2293</v>
      </c>
      <c r="AB62" s="18" t="s">
        <v>2294</v>
      </c>
      <c r="AC62" s="18" t="s">
        <v>2295</v>
      </c>
      <c r="AD62" s="18" t="s">
        <v>105</v>
      </c>
      <c r="AE62" s="65" t="s">
        <v>116</v>
      </c>
      <c r="AF62" s="68">
        <v>46260</v>
      </c>
      <c r="AG62" s="18" t="s">
        <v>117</v>
      </c>
      <c r="AH62" s="29"/>
      <c r="AI62" s="18">
        <v>0</v>
      </c>
      <c r="AJ62" s="18">
        <v>0</v>
      </c>
      <c r="AK62" s="28" t="s">
        <v>2296</v>
      </c>
      <c r="AL62" s="29" t="s">
        <v>2297</v>
      </c>
      <c r="AM62" s="29" t="s">
        <v>2298</v>
      </c>
      <c r="AN62" s="29" t="s">
        <v>2299</v>
      </c>
      <c r="AO62" s="29" t="s">
        <v>2300</v>
      </c>
      <c r="AP62" s="29" t="s">
        <v>2301</v>
      </c>
      <c r="AQ62" s="29" t="s">
        <v>2302</v>
      </c>
      <c r="AR62" s="18" t="s">
        <v>2072</v>
      </c>
      <c r="AS62" s="18" t="s">
        <v>191</v>
      </c>
      <c r="AT62" s="18" t="s">
        <v>227</v>
      </c>
      <c r="AU62" s="80" t="s">
        <v>2076</v>
      </c>
    </row>
    <row r="63" spans="1:47" ht="15.75" customHeight="1" x14ac:dyDescent="0.3">
      <c r="A63" s="19">
        <v>20501</v>
      </c>
      <c r="B63" s="18" t="s">
        <v>56</v>
      </c>
      <c r="C63" s="22">
        <v>46241</v>
      </c>
      <c r="D63" s="18" t="s">
        <v>58</v>
      </c>
      <c r="E63" s="18" t="s">
        <v>2303</v>
      </c>
      <c r="F63" s="25" t="s">
        <v>2304</v>
      </c>
      <c r="G63" s="18" t="s">
        <v>2305</v>
      </c>
      <c r="H63" s="22">
        <v>36476</v>
      </c>
      <c r="I63" s="18" t="s">
        <v>2306</v>
      </c>
      <c r="J63" s="25" t="s">
        <v>2307</v>
      </c>
      <c r="K63" s="18" t="s">
        <v>2308</v>
      </c>
      <c r="L63" s="18" t="s">
        <v>179</v>
      </c>
      <c r="M63" s="18" t="s">
        <v>72</v>
      </c>
      <c r="N63" s="18" t="s">
        <v>2309</v>
      </c>
      <c r="O63" s="18" t="s">
        <v>74</v>
      </c>
      <c r="P63" s="25" t="s">
        <v>2310</v>
      </c>
      <c r="Q63" s="25" t="s">
        <v>2311</v>
      </c>
      <c r="R63" s="18" t="s">
        <v>2312</v>
      </c>
      <c r="S63" s="24" t="s">
        <v>2313</v>
      </c>
      <c r="T63" s="18" t="s">
        <v>434</v>
      </c>
      <c r="U63" s="18" t="s">
        <v>545</v>
      </c>
      <c r="V63" s="18" t="s">
        <v>93</v>
      </c>
      <c r="W63" s="25">
        <v>0</v>
      </c>
      <c r="X63" s="18">
        <v>0</v>
      </c>
      <c r="Y63" s="18" t="s">
        <v>439</v>
      </c>
      <c r="Z63" s="19">
        <v>342401035625533</v>
      </c>
      <c r="AA63" s="18" t="s">
        <v>2303</v>
      </c>
      <c r="AB63" s="18" t="s">
        <v>2308</v>
      </c>
      <c r="AC63" s="18" t="s">
        <v>2314</v>
      </c>
      <c r="AD63" s="18" t="s">
        <v>105</v>
      </c>
      <c r="AE63" s="65" t="s">
        <v>116</v>
      </c>
      <c r="AF63" s="68">
        <v>46267</v>
      </c>
      <c r="AG63" s="69" t="s">
        <v>500</v>
      </c>
      <c r="AH63" s="29"/>
      <c r="AI63" s="18">
        <v>0</v>
      </c>
      <c r="AJ63" s="28"/>
      <c r="AK63" s="29" t="s">
        <v>2315</v>
      </c>
      <c r="AL63" s="29" t="s">
        <v>2316</v>
      </c>
      <c r="AM63" s="29" t="s">
        <v>2317</v>
      </c>
      <c r="AN63" s="29" t="s">
        <v>2318</v>
      </c>
      <c r="AO63" s="18" t="s">
        <v>2319</v>
      </c>
      <c r="AP63" s="29" t="s">
        <v>2320</v>
      </c>
      <c r="AQ63" s="29" t="s">
        <v>2321</v>
      </c>
      <c r="AR63" s="18" t="s">
        <v>2322</v>
      </c>
      <c r="AS63" s="18" t="s">
        <v>191</v>
      </c>
      <c r="AT63" s="18" t="s">
        <v>2323</v>
      </c>
      <c r="AU63" s="80"/>
    </row>
    <row r="64" spans="1:47" ht="15.75" customHeight="1" x14ac:dyDescent="0.3">
      <c r="A64" s="19">
        <v>20550</v>
      </c>
      <c r="B64" s="18" t="s">
        <v>56</v>
      </c>
      <c r="C64" s="22">
        <v>46241</v>
      </c>
      <c r="D64" s="18" t="s">
        <v>58</v>
      </c>
      <c r="E64" s="18" t="s">
        <v>2324</v>
      </c>
      <c r="F64" s="25" t="s">
        <v>2325</v>
      </c>
      <c r="G64" s="18" t="s">
        <v>2305</v>
      </c>
      <c r="H64" s="22">
        <v>36022</v>
      </c>
      <c r="I64" s="18" t="s">
        <v>2326</v>
      </c>
      <c r="J64" s="25" t="s">
        <v>2328</v>
      </c>
      <c r="K64" s="18" t="s">
        <v>2330</v>
      </c>
      <c r="L64" s="18" t="s">
        <v>179</v>
      </c>
      <c r="M64" s="18" t="s">
        <v>72</v>
      </c>
      <c r="N64" s="18" t="s">
        <v>808</v>
      </c>
      <c r="O64" s="18" t="s">
        <v>182</v>
      </c>
      <c r="P64" s="25" t="s">
        <v>2325</v>
      </c>
      <c r="Q64" s="25" t="s">
        <v>2334</v>
      </c>
      <c r="R64" s="18" t="s">
        <v>2335</v>
      </c>
      <c r="S64" s="18" t="s">
        <v>2336</v>
      </c>
      <c r="T64" s="18" t="s">
        <v>434</v>
      </c>
      <c r="U64" s="18" t="s">
        <v>545</v>
      </c>
      <c r="V64" s="18" t="s">
        <v>93</v>
      </c>
      <c r="W64" s="25" t="s">
        <v>2339</v>
      </c>
      <c r="X64" s="18" t="s">
        <v>2324</v>
      </c>
      <c r="Y64" s="18" t="s">
        <v>97</v>
      </c>
      <c r="Z64" s="25">
        <v>7810361306</v>
      </c>
      <c r="AA64" s="18" t="s">
        <v>2324</v>
      </c>
      <c r="AB64" s="18" t="s">
        <v>2342</v>
      </c>
      <c r="AC64" s="18" t="s">
        <v>2305</v>
      </c>
      <c r="AD64" s="18" t="s">
        <v>105</v>
      </c>
      <c r="AE64" s="65" t="s">
        <v>116</v>
      </c>
      <c r="AF64" s="68">
        <v>46267</v>
      </c>
      <c r="AG64" s="69" t="s">
        <v>500</v>
      </c>
      <c r="AH64" s="29"/>
      <c r="AI64" s="18">
        <v>0</v>
      </c>
      <c r="AJ64" s="19">
        <v>901536783</v>
      </c>
      <c r="AK64" s="29" t="s">
        <v>2345</v>
      </c>
      <c r="AL64" s="29" t="s">
        <v>2346</v>
      </c>
      <c r="AM64" s="29" t="s">
        <v>2347</v>
      </c>
      <c r="AN64" s="29" t="s">
        <v>2348</v>
      </c>
      <c r="AO64" s="18" t="s">
        <v>2349</v>
      </c>
      <c r="AP64" s="29" t="s">
        <v>2350</v>
      </c>
      <c r="AQ64" s="29" t="s">
        <v>2352</v>
      </c>
      <c r="AR64" s="18" t="s">
        <v>2322</v>
      </c>
      <c r="AS64" s="18" t="s">
        <v>191</v>
      </c>
      <c r="AT64" s="18" t="s">
        <v>2323</v>
      </c>
      <c r="AU64" s="80"/>
    </row>
    <row r="65" spans="1:47" ht="15.75" customHeight="1" x14ac:dyDescent="0.3">
      <c r="A65" s="19">
        <v>20552</v>
      </c>
      <c r="B65" s="18" t="s">
        <v>56</v>
      </c>
      <c r="C65" s="22">
        <v>46241</v>
      </c>
      <c r="D65" s="18" t="s">
        <v>58</v>
      </c>
      <c r="E65" s="18" t="s">
        <v>2353</v>
      </c>
      <c r="F65" s="25" t="s">
        <v>2354</v>
      </c>
      <c r="G65" s="18" t="s">
        <v>2305</v>
      </c>
      <c r="H65" s="22">
        <v>34708</v>
      </c>
      <c r="I65" s="18" t="s">
        <v>2355</v>
      </c>
      <c r="J65" s="25" t="s">
        <v>2356</v>
      </c>
      <c r="K65" s="18" t="s">
        <v>2357</v>
      </c>
      <c r="L65" s="18" t="s">
        <v>179</v>
      </c>
      <c r="M65" s="18" t="s">
        <v>72</v>
      </c>
      <c r="N65" s="18" t="s">
        <v>852</v>
      </c>
      <c r="O65" s="18" t="s">
        <v>182</v>
      </c>
      <c r="P65" s="25" t="s">
        <v>2358</v>
      </c>
      <c r="Q65" s="25" t="s">
        <v>2359</v>
      </c>
      <c r="R65" s="18" t="s">
        <v>2360</v>
      </c>
      <c r="S65" s="18" t="s">
        <v>676</v>
      </c>
      <c r="T65" s="18" t="s">
        <v>434</v>
      </c>
      <c r="U65" s="18" t="s">
        <v>545</v>
      </c>
      <c r="V65" s="18" t="s">
        <v>93</v>
      </c>
      <c r="W65" s="25">
        <v>0</v>
      </c>
      <c r="X65" s="18">
        <v>0</v>
      </c>
      <c r="Y65" s="18" t="s">
        <v>389</v>
      </c>
      <c r="Z65" s="19">
        <v>901919473365</v>
      </c>
      <c r="AA65" s="18" t="s">
        <v>2353</v>
      </c>
      <c r="AB65" s="18" t="s">
        <v>434</v>
      </c>
      <c r="AC65" s="18" t="s">
        <v>2305</v>
      </c>
      <c r="AD65" s="18" t="s">
        <v>105</v>
      </c>
      <c r="AE65" s="65" t="s">
        <v>116</v>
      </c>
      <c r="AF65" s="68">
        <v>46267</v>
      </c>
      <c r="AG65" s="69" t="s">
        <v>500</v>
      </c>
      <c r="AH65" s="29"/>
      <c r="AI65" s="18">
        <v>0</v>
      </c>
      <c r="AJ65" s="19">
        <v>0</v>
      </c>
      <c r="AK65" s="29" t="s">
        <v>2361</v>
      </c>
      <c r="AL65" s="29" t="s">
        <v>2362</v>
      </c>
      <c r="AM65" s="29" t="s">
        <v>2364</v>
      </c>
      <c r="AN65" s="29" t="s">
        <v>2365</v>
      </c>
      <c r="AO65" s="18" t="s">
        <v>2366</v>
      </c>
      <c r="AP65" s="29" t="s">
        <v>2367</v>
      </c>
      <c r="AQ65" s="29" t="s">
        <v>2368</v>
      </c>
      <c r="AR65" s="18" t="s">
        <v>568</v>
      </c>
      <c r="AS65" s="18" t="s">
        <v>191</v>
      </c>
      <c r="AT65" s="18" t="s">
        <v>2323</v>
      </c>
      <c r="AU65" s="80"/>
    </row>
    <row r="66" spans="1:47" ht="13.8" x14ac:dyDescent="0.3">
      <c r="AU66" s="84"/>
    </row>
    <row r="67" spans="1:47" ht="13.8" x14ac:dyDescent="0.3">
      <c r="AU67" s="84"/>
    </row>
    <row r="68" spans="1:47" ht="13.8" x14ac:dyDescent="0.3">
      <c r="AU68" s="84"/>
    </row>
    <row r="69" spans="1:47" ht="13.8" x14ac:dyDescent="0.3">
      <c r="AU69" s="84"/>
    </row>
    <row r="70" spans="1:47" ht="13.8" x14ac:dyDescent="0.3">
      <c r="AU70" s="84"/>
    </row>
    <row r="71" spans="1:47" ht="13.8" x14ac:dyDescent="0.3">
      <c r="AU71" s="84"/>
    </row>
    <row r="72" spans="1:47" ht="13.8" x14ac:dyDescent="0.3">
      <c r="AU72" s="84"/>
    </row>
    <row r="73" spans="1:47" ht="13.8" x14ac:dyDescent="0.3">
      <c r="AU73" s="84"/>
    </row>
    <row r="74" spans="1:47" ht="13.8" x14ac:dyDescent="0.3">
      <c r="AU74" s="84"/>
    </row>
    <row r="75" spans="1:47" ht="13.8" x14ac:dyDescent="0.3">
      <c r="AU75" s="84"/>
    </row>
    <row r="76" spans="1:47" ht="13.8" x14ac:dyDescent="0.3">
      <c r="AU76" s="84"/>
    </row>
    <row r="77" spans="1:47" ht="13.8" x14ac:dyDescent="0.3">
      <c r="AU77" s="84"/>
    </row>
    <row r="78" spans="1:47" ht="13.8" x14ac:dyDescent="0.3">
      <c r="AU78" s="84"/>
    </row>
    <row r="79" spans="1:47" ht="13.8" x14ac:dyDescent="0.3">
      <c r="AU79" s="84"/>
    </row>
    <row r="80" spans="1:47" ht="13.8" x14ac:dyDescent="0.3">
      <c r="AU80" s="84"/>
    </row>
    <row r="81" spans="47:47" ht="13.8" x14ac:dyDescent="0.3">
      <c r="AU81" s="84"/>
    </row>
    <row r="82" spans="47:47" ht="13.8" x14ac:dyDescent="0.3">
      <c r="AU82" s="84"/>
    </row>
    <row r="83" spans="47:47" ht="13.8" x14ac:dyDescent="0.3">
      <c r="AU83" s="84"/>
    </row>
    <row r="84" spans="47:47" ht="13.8" x14ac:dyDescent="0.3">
      <c r="AU84" s="84"/>
    </row>
    <row r="85" spans="47:47" ht="13.8" x14ac:dyDescent="0.3">
      <c r="AU85" s="84"/>
    </row>
    <row r="86" spans="47:47" ht="13.8" x14ac:dyDescent="0.3">
      <c r="AU86" s="84"/>
    </row>
    <row r="87" spans="47:47" ht="13.8" x14ac:dyDescent="0.3">
      <c r="AU87" s="84"/>
    </row>
    <row r="88" spans="47:47" ht="13.8" x14ac:dyDescent="0.3">
      <c r="AU88" s="84"/>
    </row>
    <row r="89" spans="47:47" ht="13.8" x14ac:dyDescent="0.3">
      <c r="AU89" s="84"/>
    </row>
    <row r="90" spans="47:47" ht="13.8" x14ac:dyDescent="0.3">
      <c r="AU90" s="84"/>
    </row>
    <row r="91" spans="47:47" ht="13.8" x14ac:dyDescent="0.3">
      <c r="AU91" s="84"/>
    </row>
    <row r="92" spans="47:47" ht="13.8" x14ac:dyDescent="0.3">
      <c r="AU92" s="84"/>
    </row>
    <row r="93" spans="47:47" ht="13.8" x14ac:dyDescent="0.3">
      <c r="AU93" s="84"/>
    </row>
    <row r="94" spans="47:47" ht="13.8" x14ac:dyDescent="0.3">
      <c r="AU94" s="84"/>
    </row>
    <row r="95" spans="47:47" ht="13.8" x14ac:dyDescent="0.3">
      <c r="AU95" s="84"/>
    </row>
    <row r="96" spans="47:47" ht="13.8" x14ac:dyDescent="0.3">
      <c r="AU96" s="84"/>
    </row>
    <row r="97" spans="47:47" ht="13.8" x14ac:dyDescent="0.3">
      <c r="AU97" s="84"/>
    </row>
    <row r="98" spans="47:47" ht="13.8" x14ac:dyDescent="0.3">
      <c r="AU98" s="84"/>
    </row>
    <row r="99" spans="47:47" ht="13.8" x14ac:dyDescent="0.3">
      <c r="AU99" s="84"/>
    </row>
    <row r="100" spans="47:47" ht="13.8" x14ac:dyDescent="0.3">
      <c r="AU100" s="84"/>
    </row>
    <row r="101" spans="47:47" ht="13.8" x14ac:dyDescent="0.3">
      <c r="AU101" s="84"/>
    </row>
    <row r="102" spans="47:47" ht="13.8" x14ac:dyDescent="0.3">
      <c r="AU102" s="84"/>
    </row>
    <row r="103" spans="47:47" ht="13.8" x14ac:dyDescent="0.3">
      <c r="AU103" s="84"/>
    </row>
    <row r="104" spans="47:47" ht="13.8" x14ac:dyDescent="0.3">
      <c r="AU104" s="84"/>
    </row>
    <row r="105" spans="47:47" ht="13.8" x14ac:dyDescent="0.3">
      <c r="AU105" s="84"/>
    </row>
    <row r="106" spans="47:47" ht="13.8" x14ac:dyDescent="0.3">
      <c r="AU106" s="84"/>
    </row>
    <row r="107" spans="47:47" ht="13.8" x14ac:dyDescent="0.3">
      <c r="AU107" s="84"/>
    </row>
    <row r="108" spans="47:47" ht="13.8" x14ac:dyDescent="0.3">
      <c r="AU108" s="84"/>
    </row>
    <row r="109" spans="47:47" ht="13.8" x14ac:dyDescent="0.3">
      <c r="AU109" s="84"/>
    </row>
    <row r="110" spans="47:47" ht="13.8" x14ac:dyDescent="0.3">
      <c r="AU110" s="84"/>
    </row>
    <row r="111" spans="47:47" ht="13.8" x14ac:dyDescent="0.3">
      <c r="AU111" s="84"/>
    </row>
    <row r="112" spans="47:47" ht="13.8" x14ac:dyDescent="0.3">
      <c r="AU112" s="84"/>
    </row>
    <row r="113" spans="47:47" ht="13.8" x14ac:dyDescent="0.3">
      <c r="AU113" s="84"/>
    </row>
    <row r="114" spans="47:47" ht="13.8" x14ac:dyDescent="0.3">
      <c r="AU114" s="84"/>
    </row>
    <row r="115" spans="47:47" ht="13.8" x14ac:dyDescent="0.3">
      <c r="AU115" s="84"/>
    </row>
    <row r="116" spans="47:47" ht="13.8" x14ac:dyDescent="0.3">
      <c r="AU116" s="84"/>
    </row>
    <row r="117" spans="47:47" ht="13.8" x14ac:dyDescent="0.3">
      <c r="AU117" s="84"/>
    </row>
    <row r="118" spans="47:47" ht="13.8" x14ac:dyDescent="0.3">
      <c r="AU118" s="84"/>
    </row>
    <row r="119" spans="47:47" ht="13.8" x14ac:dyDescent="0.3">
      <c r="AU119" s="84"/>
    </row>
    <row r="120" spans="47:47" ht="13.8" x14ac:dyDescent="0.3">
      <c r="AU120" s="84"/>
    </row>
    <row r="121" spans="47:47" ht="13.8" x14ac:dyDescent="0.3">
      <c r="AU121" s="84"/>
    </row>
    <row r="122" spans="47:47" ht="13.8" x14ac:dyDescent="0.3">
      <c r="AU122" s="84"/>
    </row>
    <row r="123" spans="47:47" ht="13.8" x14ac:dyDescent="0.3">
      <c r="AU123" s="84"/>
    </row>
    <row r="124" spans="47:47" ht="13.8" x14ac:dyDescent="0.3">
      <c r="AU124" s="84"/>
    </row>
    <row r="125" spans="47:47" ht="13.8" x14ac:dyDescent="0.3">
      <c r="AU125" s="84"/>
    </row>
    <row r="126" spans="47:47" ht="13.8" x14ac:dyDescent="0.3">
      <c r="AU126" s="84"/>
    </row>
    <row r="127" spans="47:47" ht="13.8" x14ac:dyDescent="0.3">
      <c r="AU127" s="84"/>
    </row>
    <row r="128" spans="47:47" ht="13.8" x14ac:dyDescent="0.3">
      <c r="AU128" s="84"/>
    </row>
    <row r="129" spans="47:47" ht="13.8" x14ac:dyDescent="0.3">
      <c r="AU129" s="84"/>
    </row>
    <row r="130" spans="47:47" ht="13.8" x14ac:dyDescent="0.3">
      <c r="AU130" s="84"/>
    </row>
    <row r="131" spans="47:47" ht="13.8" x14ac:dyDescent="0.3">
      <c r="AU131" s="84"/>
    </row>
    <row r="132" spans="47:47" ht="13.8" x14ac:dyDescent="0.3">
      <c r="AU132" s="84"/>
    </row>
    <row r="133" spans="47:47" ht="13.8" x14ac:dyDescent="0.3">
      <c r="AU133" s="84"/>
    </row>
    <row r="134" spans="47:47" ht="13.8" x14ac:dyDescent="0.3">
      <c r="AU134" s="84"/>
    </row>
    <row r="135" spans="47:47" ht="13.8" x14ac:dyDescent="0.3">
      <c r="AU135" s="84"/>
    </row>
    <row r="136" spans="47:47" ht="13.8" x14ac:dyDescent="0.3">
      <c r="AU136" s="84"/>
    </row>
    <row r="137" spans="47:47" ht="13.8" x14ac:dyDescent="0.3">
      <c r="AU137" s="84"/>
    </row>
    <row r="138" spans="47:47" ht="13.8" x14ac:dyDescent="0.3">
      <c r="AU138" s="84"/>
    </row>
    <row r="139" spans="47:47" ht="13.8" x14ac:dyDescent="0.3">
      <c r="AU139" s="84"/>
    </row>
    <row r="140" spans="47:47" ht="13.8" x14ac:dyDescent="0.3">
      <c r="AU140" s="84"/>
    </row>
    <row r="141" spans="47:47" ht="13.8" x14ac:dyDescent="0.3">
      <c r="AU141" s="84"/>
    </row>
    <row r="142" spans="47:47" ht="13.8" x14ac:dyDescent="0.3">
      <c r="AU142" s="84"/>
    </row>
    <row r="143" spans="47:47" ht="13.8" x14ac:dyDescent="0.3">
      <c r="AU143" s="84"/>
    </row>
    <row r="144" spans="47:47" ht="13.8" x14ac:dyDescent="0.3">
      <c r="AU144" s="84"/>
    </row>
    <row r="145" spans="47:47" ht="13.8" x14ac:dyDescent="0.3">
      <c r="AU145" s="84"/>
    </row>
    <row r="146" spans="47:47" ht="13.8" x14ac:dyDescent="0.3">
      <c r="AU146" s="84"/>
    </row>
    <row r="147" spans="47:47" ht="13.8" x14ac:dyDescent="0.3">
      <c r="AU147" s="84"/>
    </row>
    <row r="148" spans="47:47" ht="13.8" x14ac:dyDescent="0.3">
      <c r="AU148" s="84"/>
    </row>
    <row r="149" spans="47:47" ht="13.8" x14ac:dyDescent="0.3">
      <c r="AU149" s="84"/>
    </row>
    <row r="150" spans="47:47" ht="13.8" x14ac:dyDescent="0.3">
      <c r="AU150" s="84"/>
    </row>
    <row r="151" spans="47:47" ht="13.8" x14ac:dyDescent="0.3">
      <c r="AU151" s="84"/>
    </row>
    <row r="152" spans="47:47" ht="13.8" x14ac:dyDescent="0.3">
      <c r="AU152" s="84"/>
    </row>
    <row r="153" spans="47:47" ht="13.8" x14ac:dyDescent="0.3">
      <c r="AU153" s="84"/>
    </row>
    <row r="154" spans="47:47" ht="13.8" x14ac:dyDescent="0.3">
      <c r="AU154" s="84"/>
    </row>
    <row r="155" spans="47:47" ht="13.8" x14ac:dyDescent="0.3">
      <c r="AU155" s="84"/>
    </row>
    <row r="156" spans="47:47" ht="13.8" x14ac:dyDescent="0.3">
      <c r="AU156" s="84"/>
    </row>
    <row r="157" spans="47:47" ht="13.8" x14ac:dyDescent="0.3">
      <c r="AU157" s="84"/>
    </row>
    <row r="158" spans="47:47" ht="13.8" x14ac:dyDescent="0.3">
      <c r="AU158" s="84"/>
    </row>
    <row r="159" spans="47:47" ht="13.8" x14ac:dyDescent="0.3">
      <c r="AU159" s="84"/>
    </row>
    <row r="160" spans="47:47" ht="13.8" x14ac:dyDescent="0.3">
      <c r="AU160" s="84"/>
    </row>
    <row r="161" spans="47:47" ht="13.8" x14ac:dyDescent="0.3">
      <c r="AU161" s="84"/>
    </row>
    <row r="162" spans="47:47" ht="13.8" x14ac:dyDescent="0.3">
      <c r="AU162" s="84"/>
    </row>
    <row r="163" spans="47:47" ht="13.8" x14ac:dyDescent="0.3">
      <c r="AU163" s="84"/>
    </row>
    <row r="164" spans="47:47" ht="13.8" x14ac:dyDescent="0.3">
      <c r="AU164" s="84"/>
    </row>
    <row r="165" spans="47:47" ht="13.8" x14ac:dyDescent="0.3">
      <c r="AU165" s="84"/>
    </row>
    <row r="166" spans="47:47" ht="13.8" x14ac:dyDescent="0.3">
      <c r="AU166" s="84"/>
    </row>
    <row r="167" spans="47:47" ht="13.8" x14ac:dyDescent="0.3">
      <c r="AU167" s="84"/>
    </row>
    <row r="168" spans="47:47" ht="13.8" x14ac:dyDescent="0.3">
      <c r="AU168" s="84"/>
    </row>
    <row r="169" spans="47:47" ht="13.8" x14ac:dyDescent="0.3">
      <c r="AU169" s="84"/>
    </row>
    <row r="170" spans="47:47" ht="13.8" x14ac:dyDescent="0.3">
      <c r="AU170" s="84"/>
    </row>
    <row r="171" spans="47:47" ht="13.8" x14ac:dyDescent="0.3">
      <c r="AU171" s="84"/>
    </row>
    <row r="172" spans="47:47" ht="13.8" x14ac:dyDescent="0.3">
      <c r="AU172" s="84"/>
    </row>
    <row r="173" spans="47:47" ht="13.8" x14ac:dyDescent="0.3">
      <c r="AU173" s="84"/>
    </row>
    <row r="174" spans="47:47" ht="13.8" x14ac:dyDescent="0.3">
      <c r="AU174" s="84"/>
    </row>
    <row r="175" spans="47:47" ht="13.8" x14ac:dyDescent="0.3">
      <c r="AU175" s="84"/>
    </row>
    <row r="176" spans="47:47" ht="13.8" x14ac:dyDescent="0.3">
      <c r="AU176" s="84"/>
    </row>
    <row r="177" spans="47:47" ht="13.8" x14ac:dyDescent="0.3">
      <c r="AU177" s="84"/>
    </row>
    <row r="178" spans="47:47" ht="13.8" x14ac:dyDescent="0.3">
      <c r="AU178" s="84"/>
    </row>
    <row r="179" spans="47:47" ht="13.8" x14ac:dyDescent="0.3">
      <c r="AU179" s="84"/>
    </row>
    <row r="180" spans="47:47" ht="13.8" x14ac:dyDescent="0.3">
      <c r="AU180" s="84"/>
    </row>
    <row r="181" spans="47:47" ht="13.8" x14ac:dyDescent="0.3">
      <c r="AU181" s="84"/>
    </row>
    <row r="182" spans="47:47" ht="13.8" x14ac:dyDescent="0.3">
      <c r="AU182" s="84"/>
    </row>
    <row r="183" spans="47:47" ht="13.8" x14ac:dyDescent="0.3">
      <c r="AU183" s="84"/>
    </row>
    <row r="184" spans="47:47" ht="13.8" x14ac:dyDescent="0.3">
      <c r="AU184" s="84"/>
    </row>
    <row r="185" spans="47:47" ht="13.8" x14ac:dyDescent="0.3">
      <c r="AU185" s="84"/>
    </row>
    <row r="186" spans="47:47" ht="13.8" x14ac:dyDescent="0.3">
      <c r="AU186" s="84"/>
    </row>
    <row r="187" spans="47:47" ht="13.8" x14ac:dyDescent="0.3">
      <c r="AU187" s="84"/>
    </row>
    <row r="188" spans="47:47" ht="13.8" x14ac:dyDescent="0.3">
      <c r="AU188" s="84"/>
    </row>
    <row r="189" spans="47:47" ht="13.8" x14ac:dyDescent="0.3">
      <c r="AU189" s="84"/>
    </row>
    <row r="190" spans="47:47" ht="13.8" x14ac:dyDescent="0.3">
      <c r="AU190" s="84"/>
    </row>
    <row r="191" spans="47:47" ht="13.8" x14ac:dyDescent="0.3">
      <c r="AU191" s="84"/>
    </row>
    <row r="192" spans="47:47" ht="13.8" x14ac:dyDescent="0.3">
      <c r="AU192" s="84"/>
    </row>
    <row r="193" spans="47:47" ht="13.8" x14ac:dyDescent="0.3">
      <c r="AU193" s="84"/>
    </row>
    <row r="194" spans="47:47" ht="13.8" x14ac:dyDescent="0.3">
      <c r="AU194" s="84"/>
    </row>
    <row r="195" spans="47:47" ht="13.8" x14ac:dyDescent="0.3">
      <c r="AU195" s="84"/>
    </row>
    <row r="196" spans="47:47" ht="13.8" x14ac:dyDescent="0.3">
      <c r="AU196" s="84"/>
    </row>
    <row r="197" spans="47:47" ht="13.8" x14ac:dyDescent="0.3">
      <c r="AU197" s="84"/>
    </row>
    <row r="198" spans="47:47" ht="13.8" x14ac:dyDescent="0.3">
      <c r="AU198" s="84"/>
    </row>
    <row r="199" spans="47:47" ht="13.8" x14ac:dyDescent="0.3">
      <c r="AU199" s="84"/>
    </row>
    <row r="200" spans="47:47" ht="13.8" x14ac:dyDescent="0.3">
      <c r="AU200" s="84"/>
    </row>
    <row r="201" spans="47:47" ht="13.8" x14ac:dyDescent="0.3">
      <c r="AU201" s="84"/>
    </row>
    <row r="202" spans="47:47" ht="13.8" x14ac:dyDescent="0.3">
      <c r="AU202" s="84"/>
    </row>
    <row r="203" spans="47:47" ht="13.8" x14ac:dyDescent="0.3">
      <c r="AU203" s="84"/>
    </row>
    <row r="204" spans="47:47" ht="13.8" x14ac:dyDescent="0.3">
      <c r="AU204" s="84"/>
    </row>
    <row r="205" spans="47:47" ht="13.8" x14ac:dyDescent="0.3">
      <c r="AU205" s="84"/>
    </row>
    <row r="206" spans="47:47" ht="13.8" x14ac:dyDescent="0.3">
      <c r="AU206" s="84"/>
    </row>
    <row r="207" spans="47:47" ht="13.8" x14ac:dyDescent="0.3">
      <c r="AU207" s="84"/>
    </row>
    <row r="208" spans="47:47" ht="13.8" x14ac:dyDescent="0.3">
      <c r="AU208" s="84"/>
    </row>
    <row r="209" spans="47:47" ht="13.8" x14ac:dyDescent="0.3">
      <c r="AU209" s="84"/>
    </row>
    <row r="210" spans="47:47" ht="13.8" x14ac:dyDescent="0.3">
      <c r="AU210" s="84"/>
    </row>
    <row r="211" spans="47:47" ht="13.8" x14ac:dyDescent="0.3">
      <c r="AU211" s="84"/>
    </row>
    <row r="212" spans="47:47" ht="13.8" x14ac:dyDescent="0.3">
      <c r="AU212" s="84"/>
    </row>
    <row r="213" spans="47:47" ht="13.8" x14ac:dyDescent="0.3">
      <c r="AU213" s="84"/>
    </row>
    <row r="214" spans="47:47" ht="13.8" x14ac:dyDescent="0.3">
      <c r="AU214" s="84"/>
    </row>
    <row r="215" spans="47:47" ht="13.8" x14ac:dyDescent="0.3">
      <c r="AU215" s="84"/>
    </row>
    <row r="216" spans="47:47" ht="13.8" x14ac:dyDescent="0.3">
      <c r="AU216" s="84"/>
    </row>
    <row r="217" spans="47:47" ht="13.8" x14ac:dyDescent="0.3">
      <c r="AU217" s="84"/>
    </row>
    <row r="218" spans="47:47" ht="13.8" x14ac:dyDescent="0.3">
      <c r="AU218" s="84"/>
    </row>
    <row r="219" spans="47:47" ht="13.8" x14ac:dyDescent="0.3">
      <c r="AU219" s="84"/>
    </row>
    <row r="220" spans="47:47" ht="13.8" x14ac:dyDescent="0.3">
      <c r="AU220" s="84"/>
    </row>
    <row r="221" spans="47:47" ht="13.8" x14ac:dyDescent="0.3">
      <c r="AU221" s="84"/>
    </row>
    <row r="222" spans="47:47" ht="13.8" x14ac:dyDescent="0.3">
      <c r="AU222" s="84"/>
    </row>
    <row r="223" spans="47:47" ht="13.8" x14ac:dyDescent="0.3">
      <c r="AU223" s="84"/>
    </row>
    <row r="224" spans="47:47" ht="13.8" x14ac:dyDescent="0.3">
      <c r="AU224" s="84"/>
    </row>
    <row r="225" spans="47:47" ht="13.8" x14ac:dyDescent="0.3">
      <c r="AU225" s="84"/>
    </row>
    <row r="226" spans="47:47" ht="13.8" x14ac:dyDescent="0.3">
      <c r="AU226" s="84"/>
    </row>
    <row r="227" spans="47:47" ht="13.8" x14ac:dyDescent="0.3">
      <c r="AU227" s="84"/>
    </row>
    <row r="228" spans="47:47" ht="13.8" x14ac:dyDescent="0.3">
      <c r="AU228" s="84"/>
    </row>
    <row r="229" spans="47:47" ht="13.8" x14ac:dyDescent="0.3">
      <c r="AU229" s="84"/>
    </row>
    <row r="230" spans="47:47" ht="13.8" x14ac:dyDescent="0.3">
      <c r="AU230" s="84"/>
    </row>
    <row r="231" spans="47:47" ht="13.8" x14ac:dyDescent="0.3">
      <c r="AU231" s="84"/>
    </row>
    <row r="232" spans="47:47" ht="13.8" x14ac:dyDescent="0.3">
      <c r="AU232" s="84"/>
    </row>
    <row r="233" spans="47:47" ht="13.8" x14ac:dyDescent="0.3">
      <c r="AU233" s="84"/>
    </row>
    <row r="234" spans="47:47" ht="13.8" x14ac:dyDescent="0.3">
      <c r="AU234" s="84"/>
    </row>
    <row r="235" spans="47:47" ht="13.8" x14ac:dyDescent="0.3">
      <c r="AU235" s="84"/>
    </row>
    <row r="236" spans="47:47" ht="13.8" x14ac:dyDescent="0.3">
      <c r="AU236" s="84"/>
    </row>
    <row r="237" spans="47:47" ht="13.8" x14ac:dyDescent="0.3">
      <c r="AU237" s="84"/>
    </row>
    <row r="238" spans="47:47" ht="13.8" x14ac:dyDescent="0.3">
      <c r="AU238" s="84"/>
    </row>
    <row r="239" spans="47:47" ht="13.8" x14ac:dyDescent="0.3">
      <c r="AU239" s="84"/>
    </row>
    <row r="240" spans="47:47" ht="13.8" x14ac:dyDescent="0.3">
      <c r="AU240" s="84"/>
    </row>
    <row r="241" spans="47:47" ht="13.8" x14ac:dyDescent="0.3">
      <c r="AU241" s="84"/>
    </row>
    <row r="242" spans="47:47" ht="13.8" x14ac:dyDescent="0.3">
      <c r="AU242" s="84"/>
    </row>
    <row r="243" spans="47:47" ht="13.8" x14ac:dyDescent="0.3">
      <c r="AU243" s="84"/>
    </row>
    <row r="244" spans="47:47" ht="13.8" x14ac:dyDescent="0.3">
      <c r="AU244" s="84"/>
    </row>
    <row r="245" spans="47:47" ht="13.8" x14ac:dyDescent="0.3">
      <c r="AU245" s="84"/>
    </row>
    <row r="246" spans="47:47" ht="13.8" x14ac:dyDescent="0.3">
      <c r="AU246" s="84"/>
    </row>
    <row r="247" spans="47:47" ht="13.8" x14ac:dyDescent="0.3">
      <c r="AU247" s="84"/>
    </row>
    <row r="248" spans="47:47" ht="13.8" x14ac:dyDescent="0.3">
      <c r="AU248" s="84"/>
    </row>
    <row r="249" spans="47:47" ht="13.8" x14ac:dyDescent="0.3">
      <c r="AU249" s="84"/>
    </row>
    <row r="250" spans="47:47" ht="13.8" x14ac:dyDescent="0.3">
      <c r="AU250" s="84"/>
    </row>
    <row r="251" spans="47:47" ht="13.8" x14ac:dyDescent="0.3">
      <c r="AU251" s="84"/>
    </row>
    <row r="252" spans="47:47" ht="13.8" x14ac:dyDescent="0.3">
      <c r="AU252" s="84"/>
    </row>
    <row r="253" spans="47:47" ht="13.8" x14ac:dyDescent="0.3">
      <c r="AU253" s="84"/>
    </row>
    <row r="254" spans="47:47" ht="13.8" x14ac:dyDescent="0.3">
      <c r="AU254" s="84"/>
    </row>
    <row r="255" spans="47:47" ht="13.8" x14ac:dyDescent="0.3">
      <c r="AU255" s="84"/>
    </row>
    <row r="256" spans="47:47" ht="13.8" x14ac:dyDescent="0.3">
      <c r="AU256" s="84"/>
    </row>
    <row r="257" spans="47:47" ht="13.8" x14ac:dyDescent="0.3">
      <c r="AU257" s="84"/>
    </row>
    <row r="258" spans="47:47" ht="13.8" x14ac:dyDescent="0.3">
      <c r="AU258" s="84"/>
    </row>
    <row r="259" spans="47:47" ht="13.8" x14ac:dyDescent="0.3">
      <c r="AU259" s="84"/>
    </row>
    <row r="260" spans="47:47" ht="13.8" x14ac:dyDescent="0.3">
      <c r="AU260" s="84"/>
    </row>
    <row r="261" spans="47:47" ht="13.8" x14ac:dyDescent="0.3">
      <c r="AU261" s="84"/>
    </row>
    <row r="262" spans="47:47" ht="13.8" x14ac:dyDescent="0.3">
      <c r="AU262" s="84"/>
    </row>
    <row r="263" spans="47:47" ht="13.8" x14ac:dyDescent="0.3">
      <c r="AU263" s="84"/>
    </row>
    <row r="264" spans="47:47" ht="13.8" x14ac:dyDescent="0.3">
      <c r="AU264" s="84"/>
    </row>
    <row r="265" spans="47:47" ht="13.8" x14ac:dyDescent="0.3">
      <c r="AU265" s="84"/>
    </row>
    <row r="266" spans="47:47" ht="13.8" x14ac:dyDescent="0.3">
      <c r="AU266" s="84"/>
    </row>
    <row r="267" spans="47:47" ht="13.8" x14ac:dyDescent="0.3">
      <c r="AU267" s="84"/>
    </row>
    <row r="268" spans="47:47" ht="13.8" x14ac:dyDescent="0.3">
      <c r="AU268" s="84"/>
    </row>
    <row r="269" spans="47:47" ht="13.8" x14ac:dyDescent="0.3">
      <c r="AU269" s="84"/>
    </row>
    <row r="270" spans="47:47" ht="13.8" x14ac:dyDescent="0.3">
      <c r="AU270" s="84"/>
    </row>
    <row r="271" spans="47:47" ht="13.8" x14ac:dyDescent="0.3">
      <c r="AU271" s="84"/>
    </row>
    <row r="272" spans="47:47" ht="13.8" x14ac:dyDescent="0.3">
      <c r="AU272" s="84"/>
    </row>
    <row r="273" spans="47:47" ht="13.8" x14ac:dyDescent="0.3">
      <c r="AU273" s="84"/>
    </row>
    <row r="274" spans="47:47" ht="13.8" x14ac:dyDescent="0.3">
      <c r="AU274" s="84"/>
    </row>
    <row r="275" spans="47:47" ht="13.8" x14ac:dyDescent="0.3">
      <c r="AU275" s="84"/>
    </row>
    <row r="276" spans="47:47" ht="13.8" x14ac:dyDescent="0.3">
      <c r="AU276" s="84"/>
    </row>
    <row r="277" spans="47:47" ht="13.8" x14ac:dyDescent="0.3">
      <c r="AU277" s="84"/>
    </row>
    <row r="278" spans="47:47" ht="13.8" x14ac:dyDescent="0.3">
      <c r="AU278" s="84"/>
    </row>
    <row r="279" spans="47:47" ht="13.8" x14ac:dyDescent="0.3">
      <c r="AU279" s="84"/>
    </row>
    <row r="280" spans="47:47" ht="13.8" x14ac:dyDescent="0.3">
      <c r="AU280" s="84"/>
    </row>
    <row r="281" spans="47:47" ht="13.8" x14ac:dyDescent="0.3">
      <c r="AU281" s="84"/>
    </row>
    <row r="282" spans="47:47" ht="13.8" x14ac:dyDescent="0.3">
      <c r="AU282" s="84"/>
    </row>
    <row r="283" spans="47:47" ht="13.8" x14ac:dyDescent="0.3">
      <c r="AU283" s="84"/>
    </row>
    <row r="284" spans="47:47" ht="13.8" x14ac:dyDescent="0.3">
      <c r="AU284" s="84"/>
    </row>
    <row r="285" spans="47:47" ht="13.8" x14ac:dyDescent="0.3">
      <c r="AU285" s="84"/>
    </row>
    <row r="286" spans="47:47" ht="13.8" x14ac:dyDescent="0.3">
      <c r="AU286" s="84"/>
    </row>
    <row r="287" spans="47:47" ht="13.8" x14ac:dyDescent="0.3">
      <c r="AU287" s="84"/>
    </row>
    <row r="288" spans="47:47" ht="13.8" x14ac:dyDescent="0.3">
      <c r="AU288" s="84"/>
    </row>
    <row r="289" spans="47:47" ht="13.8" x14ac:dyDescent="0.3">
      <c r="AU289" s="84"/>
    </row>
    <row r="290" spans="47:47" ht="13.8" x14ac:dyDescent="0.3">
      <c r="AU290" s="84"/>
    </row>
    <row r="291" spans="47:47" ht="13.8" x14ac:dyDescent="0.3">
      <c r="AU291" s="84"/>
    </row>
    <row r="292" spans="47:47" ht="13.8" x14ac:dyDescent="0.3">
      <c r="AU292" s="84"/>
    </row>
    <row r="293" spans="47:47" ht="13.8" x14ac:dyDescent="0.3">
      <c r="AU293" s="84"/>
    </row>
    <row r="294" spans="47:47" ht="13.8" x14ac:dyDescent="0.3">
      <c r="AU294" s="84"/>
    </row>
    <row r="295" spans="47:47" ht="13.8" x14ac:dyDescent="0.3">
      <c r="AU295" s="84"/>
    </row>
    <row r="296" spans="47:47" ht="13.8" x14ac:dyDescent="0.3">
      <c r="AU296" s="84"/>
    </row>
    <row r="297" spans="47:47" ht="13.8" x14ac:dyDescent="0.3">
      <c r="AU297" s="84"/>
    </row>
    <row r="298" spans="47:47" ht="13.8" x14ac:dyDescent="0.3">
      <c r="AU298" s="84"/>
    </row>
    <row r="299" spans="47:47" ht="13.8" x14ac:dyDescent="0.3">
      <c r="AU299" s="84"/>
    </row>
    <row r="300" spans="47:47" ht="13.8" x14ac:dyDescent="0.3">
      <c r="AU300" s="84"/>
    </row>
    <row r="301" spans="47:47" ht="13.8" x14ac:dyDescent="0.3">
      <c r="AU301" s="84"/>
    </row>
    <row r="302" spans="47:47" ht="13.8" x14ac:dyDescent="0.3">
      <c r="AU302" s="84"/>
    </row>
    <row r="303" spans="47:47" ht="13.8" x14ac:dyDescent="0.3">
      <c r="AU303" s="84"/>
    </row>
    <row r="304" spans="47:47" ht="13.8" x14ac:dyDescent="0.3">
      <c r="AU304" s="84"/>
    </row>
    <row r="305" spans="47:47" ht="13.8" x14ac:dyDescent="0.3">
      <c r="AU305" s="84"/>
    </row>
    <row r="306" spans="47:47" ht="13.8" x14ac:dyDescent="0.3">
      <c r="AU306" s="84"/>
    </row>
    <row r="307" spans="47:47" ht="13.8" x14ac:dyDescent="0.3">
      <c r="AU307" s="84"/>
    </row>
    <row r="308" spans="47:47" ht="13.8" x14ac:dyDescent="0.3">
      <c r="AU308" s="84"/>
    </row>
    <row r="309" spans="47:47" ht="13.8" x14ac:dyDescent="0.3">
      <c r="AU309" s="84"/>
    </row>
    <row r="310" spans="47:47" ht="13.8" x14ac:dyDescent="0.3">
      <c r="AU310" s="84"/>
    </row>
    <row r="311" spans="47:47" ht="13.8" x14ac:dyDescent="0.3">
      <c r="AU311" s="84"/>
    </row>
    <row r="312" spans="47:47" ht="13.8" x14ac:dyDescent="0.3">
      <c r="AU312" s="84"/>
    </row>
    <row r="313" spans="47:47" ht="13.8" x14ac:dyDescent="0.3">
      <c r="AU313" s="84"/>
    </row>
    <row r="314" spans="47:47" ht="13.8" x14ac:dyDescent="0.3">
      <c r="AU314" s="84"/>
    </row>
    <row r="315" spans="47:47" ht="13.8" x14ac:dyDescent="0.3">
      <c r="AU315" s="84"/>
    </row>
    <row r="316" spans="47:47" ht="13.8" x14ac:dyDescent="0.3">
      <c r="AU316" s="84"/>
    </row>
    <row r="317" spans="47:47" ht="13.8" x14ac:dyDescent="0.3">
      <c r="AU317" s="84"/>
    </row>
    <row r="318" spans="47:47" ht="13.8" x14ac:dyDescent="0.3">
      <c r="AU318" s="84"/>
    </row>
    <row r="319" spans="47:47" ht="13.8" x14ac:dyDescent="0.3">
      <c r="AU319" s="84"/>
    </row>
    <row r="320" spans="47:47" ht="13.8" x14ac:dyDescent="0.3">
      <c r="AU320" s="84"/>
    </row>
    <row r="321" spans="47:47" ht="13.8" x14ac:dyDescent="0.3">
      <c r="AU321" s="84"/>
    </row>
    <row r="322" spans="47:47" ht="13.8" x14ac:dyDescent="0.3">
      <c r="AU322" s="84"/>
    </row>
    <row r="323" spans="47:47" ht="13.8" x14ac:dyDescent="0.3">
      <c r="AU323" s="84"/>
    </row>
    <row r="324" spans="47:47" ht="13.8" x14ac:dyDescent="0.3">
      <c r="AU324" s="84"/>
    </row>
    <row r="325" spans="47:47" ht="13.8" x14ac:dyDescent="0.3">
      <c r="AU325" s="84"/>
    </row>
    <row r="326" spans="47:47" ht="13.8" x14ac:dyDescent="0.3">
      <c r="AU326" s="84"/>
    </row>
    <row r="327" spans="47:47" ht="13.8" x14ac:dyDescent="0.3">
      <c r="AU327" s="84"/>
    </row>
    <row r="328" spans="47:47" ht="13.8" x14ac:dyDescent="0.3">
      <c r="AU328" s="84"/>
    </row>
    <row r="329" spans="47:47" ht="13.8" x14ac:dyDescent="0.3">
      <c r="AU329" s="84"/>
    </row>
    <row r="330" spans="47:47" ht="13.8" x14ac:dyDescent="0.3">
      <c r="AU330" s="84"/>
    </row>
    <row r="331" spans="47:47" ht="13.8" x14ac:dyDescent="0.3">
      <c r="AU331" s="84"/>
    </row>
    <row r="332" spans="47:47" ht="13.8" x14ac:dyDescent="0.3">
      <c r="AU332" s="84"/>
    </row>
    <row r="333" spans="47:47" ht="13.8" x14ac:dyDescent="0.3">
      <c r="AU333" s="84"/>
    </row>
    <row r="334" spans="47:47" ht="13.8" x14ac:dyDescent="0.3">
      <c r="AU334" s="84"/>
    </row>
    <row r="335" spans="47:47" ht="13.8" x14ac:dyDescent="0.3">
      <c r="AU335" s="84"/>
    </row>
    <row r="336" spans="47:47" ht="13.8" x14ac:dyDescent="0.3">
      <c r="AU336" s="84"/>
    </row>
    <row r="337" spans="47:47" ht="13.8" x14ac:dyDescent="0.3">
      <c r="AU337" s="84"/>
    </row>
    <row r="338" spans="47:47" ht="13.8" x14ac:dyDescent="0.3">
      <c r="AU338" s="84"/>
    </row>
    <row r="339" spans="47:47" ht="13.8" x14ac:dyDescent="0.3">
      <c r="AU339" s="84"/>
    </row>
    <row r="340" spans="47:47" ht="13.8" x14ac:dyDescent="0.3">
      <c r="AU340" s="84"/>
    </row>
    <row r="341" spans="47:47" ht="13.8" x14ac:dyDescent="0.3">
      <c r="AU341" s="84"/>
    </row>
    <row r="342" spans="47:47" ht="13.8" x14ac:dyDescent="0.3">
      <c r="AU342" s="84"/>
    </row>
    <row r="343" spans="47:47" ht="13.8" x14ac:dyDescent="0.3">
      <c r="AU343" s="84"/>
    </row>
    <row r="344" spans="47:47" ht="13.8" x14ac:dyDescent="0.3">
      <c r="AU344" s="84"/>
    </row>
    <row r="345" spans="47:47" ht="13.8" x14ac:dyDescent="0.3">
      <c r="AU345" s="84"/>
    </row>
    <row r="346" spans="47:47" ht="13.8" x14ac:dyDescent="0.3">
      <c r="AU346" s="84"/>
    </row>
    <row r="347" spans="47:47" ht="13.8" x14ac:dyDescent="0.3">
      <c r="AU347" s="84"/>
    </row>
    <row r="348" spans="47:47" ht="13.8" x14ac:dyDescent="0.3">
      <c r="AU348" s="84"/>
    </row>
    <row r="349" spans="47:47" ht="13.8" x14ac:dyDescent="0.3">
      <c r="AU349" s="84"/>
    </row>
    <row r="350" spans="47:47" ht="13.8" x14ac:dyDescent="0.3">
      <c r="AU350" s="84"/>
    </row>
    <row r="351" spans="47:47" ht="13.8" x14ac:dyDescent="0.3">
      <c r="AU351" s="84"/>
    </row>
    <row r="352" spans="47:47" ht="13.8" x14ac:dyDescent="0.3">
      <c r="AU352" s="84"/>
    </row>
    <row r="353" spans="47:47" ht="13.8" x14ac:dyDescent="0.3">
      <c r="AU353" s="84"/>
    </row>
    <row r="354" spans="47:47" ht="13.8" x14ac:dyDescent="0.3">
      <c r="AU354" s="84"/>
    </row>
    <row r="355" spans="47:47" ht="13.8" x14ac:dyDescent="0.3">
      <c r="AU355" s="84"/>
    </row>
    <row r="356" spans="47:47" ht="13.8" x14ac:dyDescent="0.3">
      <c r="AU356" s="84"/>
    </row>
    <row r="357" spans="47:47" ht="13.8" x14ac:dyDescent="0.3">
      <c r="AU357" s="84"/>
    </row>
    <row r="358" spans="47:47" ht="13.8" x14ac:dyDescent="0.3">
      <c r="AU358" s="84"/>
    </row>
    <row r="359" spans="47:47" ht="13.8" x14ac:dyDescent="0.3">
      <c r="AU359" s="84"/>
    </row>
    <row r="360" spans="47:47" ht="13.8" x14ac:dyDescent="0.3">
      <c r="AU360" s="84"/>
    </row>
    <row r="361" spans="47:47" ht="13.8" x14ac:dyDescent="0.3">
      <c r="AU361" s="84"/>
    </row>
    <row r="362" spans="47:47" ht="13.8" x14ac:dyDescent="0.3">
      <c r="AU362" s="84"/>
    </row>
    <row r="363" spans="47:47" ht="13.8" x14ac:dyDescent="0.3">
      <c r="AU363" s="84"/>
    </row>
    <row r="364" spans="47:47" ht="13.8" x14ac:dyDescent="0.3">
      <c r="AU364" s="84"/>
    </row>
    <row r="365" spans="47:47" ht="13.8" x14ac:dyDescent="0.3">
      <c r="AU365" s="84"/>
    </row>
    <row r="366" spans="47:47" ht="13.8" x14ac:dyDescent="0.3">
      <c r="AU366" s="84"/>
    </row>
    <row r="367" spans="47:47" ht="13.8" x14ac:dyDescent="0.3">
      <c r="AU367" s="84"/>
    </row>
    <row r="368" spans="47:47" ht="13.8" x14ac:dyDescent="0.3">
      <c r="AU368" s="84"/>
    </row>
    <row r="369" spans="47:47" ht="13.8" x14ac:dyDescent="0.3">
      <c r="AU369" s="84"/>
    </row>
    <row r="370" spans="47:47" ht="13.8" x14ac:dyDescent="0.3">
      <c r="AU370" s="84"/>
    </row>
    <row r="371" spans="47:47" ht="13.8" x14ac:dyDescent="0.3">
      <c r="AU371" s="84"/>
    </row>
    <row r="372" spans="47:47" ht="13.8" x14ac:dyDescent="0.3">
      <c r="AU372" s="84"/>
    </row>
    <row r="373" spans="47:47" ht="13.8" x14ac:dyDescent="0.3">
      <c r="AU373" s="84"/>
    </row>
    <row r="374" spans="47:47" ht="13.8" x14ac:dyDescent="0.3">
      <c r="AU374" s="84"/>
    </row>
    <row r="375" spans="47:47" ht="13.8" x14ac:dyDescent="0.3">
      <c r="AU375" s="84"/>
    </row>
    <row r="376" spans="47:47" ht="13.8" x14ac:dyDescent="0.3">
      <c r="AU376" s="84"/>
    </row>
    <row r="377" spans="47:47" ht="13.8" x14ac:dyDescent="0.3">
      <c r="AU377" s="84"/>
    </row>
    <row r="378" spans="47:47" ht="13.8" x14ac:dyDescent="0.3">
      <c r="AU378" s="84"/>
    </row>
    <row r="379" spans="47:47" ht="13.8" x14ac:dyDescent="0.3">
      <c r="AU379" s="84"/>
    </row>
    <row r="380" spans="47:47" ht="13.8" x14ac:dyDescent="0.3">
      <c r="AU380" s="84"/>
    </row>
    <row r="381" spans="47:47" ht="13.8" x14ac:dyDescent="0.3">
      <c r="AU381" s="84"/>
    </row>
    <row r="382" spans="47:47" ht="13.8" x14ac:dyDescent="0.3">
      <c r="AU382" s="84"/>
    </row>
    <row r="383" spans="47:47" ht="13.8" x14ac:dyDescent="0.3">
      <c r="AU383" s="84"/>
    </row>
    <row r="384" spans="47:47" ht="13.8" x14ac:dyDescent="0.3">
      <c r="AU384" s="84"/>
    </row>
    <row r="385" spans="47:47" ht="13.8" x14ac:dyDescent="0.3">
      <c r="AU385" s="84"/>
    </row>
    <row r="386" spans="47:47" ht="13.8" x14ac:dyDescent="0.3">
      <c r="AU386" s="84"/>
    </row>
    <row r="387" spans="47:47" ht="13.8" x14ac:dyDescent="0.3">
      <c r="AU387" s="84"/>
    </row>
    <row r="388" spans="47:47" ht="13.8" x14ac:dyDescent="0.3">
      <c r="AU388" s="84"/>
    </row>
    <row r="389" spans="47:47" ht="13.8" x14ac:dyDescent="0.3">
      <c r="AU389" s="84"/>
    </row>
    <row r="390" spans="47:47" ht="13.8" x14ac:dyDescent="0.3">
      <c r="AU390" s="84"/>
    </row>
    <row r="391" spans="47:47" ht="13.8" x14ac:dyDescent="0.3">
      <c r="AU391" s="84"/>
    </row>
    <row r="392" spans="47:47" ht="13.8" x14ac:dyDescent="0.3">
      <c r="AU392" s="84"/>
    </row>
    <row r="393" spans="47:47" ht="13.8" x14ac:dyDescent="0.3">
      <c r="AU393" s="84"/>
    </row>
    <row r="394" spans="47:47" ht="13.8" x14ac:dyDescent="0.3">
      <c r="AU394" s="84"/>
    </row>
    <row r="395" spans="47:47" ht="13.8" x14ac:dyDescent="0.3">
      <c r="AU395" s="84"/>
    </row>
    <row r="396" spans="47:47" ht="13.8" x14ac:dyDescent="0.3">
      <c r="AU396" s="84"/>
    </row>
    <row r="397" spans="47:47" ht="13.8" x14ac:dyDescent="0.3">
      <c r="AU397" s="84"/>
    </row>
    <row r="398" spans="47:47" ht="13.8" x14ac:dyDescent="0.3">
      <c r="AU398" s="84"/>
    </row>
    <row r="399" spans="47:47" ht="13.8" x14ac:dyDescent="0.3">
      <c r="AU399" s="84"/>
    </row>
    <row r="400" spans="47:47" ht="13.8" x14ac:dyDescent="0.3">
      <c r="AU400" s="84"/>
    </row>
    <row r="401" spans="47:47" ht="13.8" x14ac:dyDescent="0.3">
      <c r="AU401" s="84"/>
    </row>
    <row r="402" spans="47:47" ht="13.8" x14ac:dyDescent="0.3">
      <c r="AU402" s="84"/>
    </row>
    <row r="403" spans="47:47" ht="13.8" x14ac:dyDescent="0.3">
      <c r="AU403" s="84"/>
    </row>
    <row r="404" spans="47:47" ht="13.8" x14ac:dyDescent="0.3">
      <c r="AU404" s="84"/>
    </row>
    <row r="405" spans="47:47" ht="13.8" x14ac:dyDescent="0.3">
      <c r="AU405" s="84"/>
    </row>
    <row r="406" spans="47:47" ht="13.8" x14ac:dyDescent="0.3">
      <c r="AU406" s="84"/>
    </row>
    <row r="407" spans="47:47" ht="13.8" x14ac:dyDescent="0.3">
      <c r="AU407" s="84"/>
    </row>
    <row r="408" spans="47:47" ht="13.8" x14ac:dyDescent="0.3">
      <c r="AU408" s="84"/>
    </row>
    <row r="409" spans="47:47" ht="13.8" x14ac:dyDescent="0.3">
      <c r="AU409" s="84"/>
    </row>
    <row r="410" spans="47:47" ht="13.8" x14ac:dyDescent="0.3">
      <c r="AU410" s="84"/>
    </row>
    <row r="411" spans="47:47" ht="13.8" x14ac:dyDescent="0.3">
      <c r="AU411" s="84"/>
    </row>
    <row r="412" spans="47:47" ht="13.8" x14ac:dyDescent="0.3">
      <c r="AU412" s="84"/>
    </row>
    <row r="413" spans="47:47" ht="13.8" x14ac:dyDescent="0.3">
      <c r="AU413" s="84"/>
    </row>
    <row r="414" spans="47:47" ht="13.8" x14ac:dyDescent="0.3">
      <c r="AU414" s="84"/>
    </row>
    <row r="415" spans="47:47" ht="13.8" x14ac:dyDescent="0.3">
      <c r="AU415" s="84"/>
    </row>
    <row r="416" spans="47:47" ht="13.8" x14ac:dyDescent="0.3">
      <c r="AU416" s="84"/>
    </row>
    <row r="417" spans="47:47" ht="13.8" x14ac:dyDescent="0.3">
      <c r="AU417" s="84"/>
    </row>
    <row r="418" spans="47:47" ht="13.8" x14ac:dyDescent="0.3">
      <c r="AU418" s="84"/>
    </row>
    <row r="419" spans="47:47" ht="13.8" x14ac:dyDescent="0.3">
      <c r="AU419" s="84"/>
    </row>
    <row r="420" spans="47:47" ht="13.8" x14ac:dyDescent="0.3">
      <c r="AU420" s="84"/>
    </row>
    <row r="421" spans="47:47" ht="13.8" x14ac:dyDescent="0.3">
      <c r="AU421" s="84"/>
    </row>
    <row r="422" spans="47:47" ht="13.8" x14ac:dyDescent="0.3">
      <c r="AU422" s="84"/>
    </row>
    <row r="423" spans="47:47" ht="13.8" x14ac:dyDescent="0.3">
      <c r="AU423" s="84"/>
    </row>
    <row r="424" spans="47:47" ht="13.8" x14ac:dyDescent="0.3">
      <c r="AU424" s="84"/>
    </row>
    <row r="425" spans="47:47" ht="13.8" x14ac:dyDescent="0.3">
      <c r="AU425" s="84"/>
    </row>
    <row r="426" spans="47:47" ht="13.8" x14ac:dyDescent="0.3">
      <c r="AU426" s="84"/>
    </row>
    <row r="427" spans="47:47" ht="13.8" x14ac:dyDescent="0.3">
      <c r="AU427" s="84"/>
    </row>
    <row r="428" spans="47:47" ht="13.8" x14ac:dyDescent="0.3">
      <c r="AU428" s="84"/>
    </row>
    <row r="429" spans="47:47" ht="13.8" x14ac:dyDescent="0.3">
      <c r="AU429" s="84"/>
    </row>
    <row r="430" spans="47:47" ht="13.8" x14ac:dyDescent="0.3">
      <c r="AU430" s="84"/>
    </row>
    <row r="431" spans="47:47" ht="13.8" x14ac:dyDescent="0.3">
      <c r="AU431" s="84"/>
    </row>
    <row r="432" spans="47:47" ht="13.8" x14ac:dyDescent="0.3">
      <c r="AU432" s="84"/>
    </row>
    <row r="433" spans="47:47" ht="13.8" x14ac:dyDescent="0.3">
      <c r="AU433" s="84"/>
    </row>
    <row r="434" spans="47:47" ht="13.8" x14ac:dyDescent="0.3">
      <c r="AU434" s="84"/>
    </row>
    <row r="435" spans="47:47" ht="13.8" x14ac:dyDescent="0.3">
      <c r="AU435" s="84"/>
    </row>
    <row r="436" spans="47:47" ht="13.8" x14ac:dyDescent="0.3">
      <c r="AU436" s="84"/>
    </row>
    <row r="437" spans="47:47" ht="13.8" x14ac:dyDescent="0.3">
      <c r="AU437" s="84"/>
    </row>
    <row r="438" spans="47:47" ht="13.8" x14ac:dyDescent="0.3">
      <c r="AU438" s="84"/>
    </row>
    <row r="439" spans="47:47" ht="13.8" x14ac:dyDescent="0.3">
      <c r="AU439" s="84"/>
    </row>
    <row r="440" spans="47:47" ht="13.8" x14ac:dyDescent="0.3">
      <c r="AU440" s="84"/>
    </row>
    <row r="441" spans="47:47" ht="13.8" x14ac:dyDescent="0.3">
      <c r="AU441" s="84"/>
    </row>
    <row r="442" spans="47:47" ht="13.8" x14ac:dyDescent="0.3">
      <c r="AU442" s="84"/>
    </row>
    <row r="443" spans="47:47" ht="13.8" x14ac:dyDescent="0.3">
      <c r="AU443" s="84"/>
    </row>
    <row r="444" spans="47:47" ht="13.8" x14ac:dyDescent="0.3">
      <c r="AU444" s="84"/>
    </row>
    <row r="445" spans="47:47" ht="13.8" x14ac:dyDescent="0.3">
      <c r="AU445" s="84"/>
    </row>
    <row r="446" spans="47:47" ht="13.8" x14ac:dyDescent="0.3">
      <c r="AU446" s="84"/>
    </row>
    <row r="447" spans="47:47" ht="13.8" x14ac:dyDescent="0.3">
      <c r="AU447" s="84"/>
    </row>
    <row r="448" spans="47:47" ht="13.8" x14ac:dyDescent="0.3">
      <c r="AU448" s="84"/>
    </row>
    <row r="449" spans="47:47" ht="13.8" x14ac:dyDescent="0.3">
      <c r="AU449" s="84"/>
    </row>
    <row r="450" spans="47:47" ht="13.8" x14ac:dyDescent="0.3">
      <c r="AU450" s="84"/>
    </row>
    <row r="451" spans="47:47" ht="13.8" x14ac:dyDescent="0.3">
      <c r="AU451" s="84"/>
    </row>
    <row r="452" spans="47:47" ht="13.8" x14ac:dyDescent="0.3">
      <c r="AU452" s="84"/>
    </row>
    <row r="453" spans="47:47" ht="13.8" x14ac:dyDescent="0.3">
      <c r="AU453" s="84"/>
    </row>
    <row r="454" spans="47:47" ht="13.8" x14ac:dyDescent="0.3">
      <c r="AU454" s="84"/>
    </row>
    <row r="455" spans="47:47" ht="13.8" x14ac:dyDescent="0.3">
      <c r="AU455" s="84"/>
    </row>
    <row r="456" spans="47:47" ht="13.8" x14ac:dyDescent="0.3">
      <c r="AU456" s="84"/>
    </row>
    <row r="457" spans="47:47" ht="13.8" x14ac:dyDescent="0.3">
      <c r="AU457" s="84"/>
    </row>
    <row r="458" spans="47:47" ht="13.8" x14ac:dyDescent="0.3">
      <c r="AU458" s="84"/>
    </row>
    <row r="459" spans="47:47" ht="13.8" x14ac:dyDescent="0.3">
      <c r="AU459" s="84"/>
    </row>
    <row r="460" spans="47:47" ht="13.8" x14ac:dyDescent="0.3">
      <c r="AU460" s="84"/>
    </row>
    <row r="461" spans="47:47" ht="13.8" x14ac:dyDescent="0.3">
      <c r="AU461" s="84"/>
    </row>
    <row r="462" spans="47:47" ht="13.8" x14ac:dyDescent="0.3">
      <c r="AU462" s="84"/>
    </row>
    <row r="463" spans="47:47" ht="13.8" x14ac:dyDescent="0.3">
      <c r="AU463" s="84"/>
    </row>
    <row r="464" spans="47:47" ht="13.8" x14ac:dyDescent="0.3">
      <c r="AU464" s="84"/>
    </row>
    <row r="465" spans="47:47" ht="13.8" x14ac:dyDescent="0.3">
      <c r="AU465" s="84"/>
    </row>
    <row r="466" spans="47:47" ht="13.8" x14ac:dyDescent="0.3">
      <c r="AU466" s="84"/>
    </row>
    <row r="467" spans="47:47" ht="13.8" x14ac:dyDescent="0.3">
      <c r="AU467" s="84"/>
    </row>
    <row r="468" spans="47:47" ht="13.8" x14ac:dyDescent="0.3">
      <c r="AU468" s="84"/>
    </row>
    <row r="469" spans="47:47" ht="13.8" x14ac:dyDescent="0.3">
      <c r="AU469" s="84"/>
    </row>
    <row r="470" spans="47:47" ht="13.8" x14ac:dyDescent="0.3">
      <c r="AU470" s="84"/>
    </row>
    <row r="471" spans="47:47" ht="13.8" x14ac:dyDescent="0.3">
      <c r="AU471" s="84"/>
    </row>
    <row r="472" spans="47:47" ht="13.8" x14ac:dyDescent="0.3">
      <c r="AU472" s="84"/>
    </row>
    <row r="473" spans="47:47" ht="13.8" x14ac:dyDescent="0.3">
      <c r="AU473" s="84"/>
    </row>
    <row r="474" spans="47:47" ht="13.8" x14ac:dyDescent="0.3">
      <c r="AU474" s="84"/>
    </row>
    <row r="475" spans="47:47" ht="13.8" x14ac:dyDescent="0.3">
      <c r="AU475" s="84"/>
    </row>
    <row r="476" spans="47:47" ht="13.8" x14ac:dyDescent="0.3">
      <c r="AU476" s="84"/>
    </row>
    <row r="477" spans="47:47" ht="13.8" x14ac:dyDescent="0.3">
      <c r="AU477" s="84"/>
    </row>
    <row r="478" spans="47:47" ht="13.8" x14ac:dyDescent="0.3">
      <c r="AU478" s="84"/>
    </row>
    <row r="479" spans="47:47" ht="13.8" x14ac:dyDescent="0.3">
      <c r="AU479" s="84"/>
    </row>
    <row r="480" spans="47:47" ht="13.8" x14ac:dyDescent="0.3">
      <c r="AU480" s="84"/>
    </row>
    <row r="481" spans="47:47" ht="13.8" x14ac:dyDescent="0.3">
      <c r="AU481" s="84"/>
    </row>
    <row r="482" spans="47:47" ht="13.8" x14ac:dyDescent="0.3">
      <c r="AU482" s="84"/>
    </row>
    <row r="483" spans="47:47" ht="13.8" x14ac:dyDescent="0.3">
      <c r="AU483" s="84"/>
    </row>
    <row r="484" spans="47:47" ht="13.8" x14ac:dyDescent="0.3">
      <c r="AU484" s="84"/>
    </row>
    <row r="485" spans="47:47" ht="13.8" x14ac:dyDescent="0.3">
      <c r="AU485" s="84"/>
    </row>
    <row r="486" spans="47:47" ht="13.8" x14ac:dyDescent="0.3">
      <c r="AU486" s="84"/>
    </row>
    <row r="487" spans="47:47" ht="13.8" x14ac:dyDescent="0.3">
      <c r="AU487" s="84"/>
    </row>
    <row r="488" spans="47:47" ht="13.8" x14ac:dyDescent="0.3">
      <c r="AU488" s="84"/>
    </row>
    <row r="489" spans="47:47" ht="13.8" x14ac:dyDescent="0.3">
      <c r="AU489" s="84"/>
    </row>
    <row r="490" spans="47:47" ht="13.8" x14ac:dyDescent="0.3">
      <c r="AU490" s="84"/>
    </row>
    <row r="491" spans="47:47" ht="13.8" x14ac:dyDescent="0.3">
      <c r="AU491" s="84"/>
    </row>
    <row r="492" spans="47:47" ht="13.8" x14ac:dyDescent="0.3">
      <c r="AU492" s="84"/>
    </row>
    <row r="493" spans="47:47" ht="13.8" x14ac:dyDescent="0.3">
      <c r="AU493" s="84"/>
    </row>
    <row r="494" spans="47:47" ht="13.8" x14ac:dyDescent="0.3">
      <c r="AU494" s="84"/>
    </row>
    <row r="495" spans="47:47" ht="13.8" x14ac:dyDescent="0.3">
      <c r="AU495" s="84"/>
    </row>
    <row r="496" spans="47:47" ht="13.8" x14ac:dyDescent="0.3">
      <c r="AU496" s="84"/>
    </row>
    <row r="497" spans="47:47" ht="13.8" x14ac:dyDescent="0.3">
      <c r="AU497" s="84"/>
    </row>
    <row r="498" spans="47:47" ht="13.8" x14ac:dyDescent="0.3">
      <c r="AU498" s="84"/>
    </row>
    <row r="499" spans="47:47" ht="13.8" x14ac:dyDescent="0.3">
      <c r="AU499" s="84"/>
    </row>
    <row r="500" spans="47:47" ht="13.8" x14ac:dyDescent="0.3">
      <c r="AU500" s="84"/>
    </row>
    <row r="501" spans="47:47" ht="13.8" x14ac:dyDescent="0.3">
      <c r="AU501" s="84"/>
    </row>
    <row r="502" spans="47:47" ht="13.8" x14ac:dyDescent="0.3">
      <c r="AU502" s="84"/>
    </row>
    <row r="503" spans="47:47" ht="13.8" x14ac:dyDescent="0.3">
      <c r="AU503" s="84"/>
    </row>
    <row r="504" spans="47:47" ht="13.8" x14ac:dyDescent="0.3">
      <c r="AU504" s="84"/>
    </row>
    <row r="505" spans="47:47" ht="13.8" x14ac:dyDescent="0.3">
      <c r="AU505" s="84"/>
    </row>
    <row r="506" spans="47:47" ht="13.8" x14ac:dyDescent="0.3">
      <c r="AU506" s="84"/>
    </row>
    <row r="507" spans="47:47" ht="13.8" x14ac:dyDescent="0.3">
      <c r="AU507" s="84"/>
    </row>
    <row r="508" spans="47:47" ht="13.8" x14ac:dyDescent="0.3">
      <c r="AU508" s="84"/>
    </row>
    <row r="509" spans="47:47" ht="13.8" x14ac:dyDescent="0.3">
      <c r="AU509" s="84"/>
    </row>
    <row r="510" spans="47:47" ht="13.8" x14ac:dyDescent="0.3">
      <c r="AU510" s="84"/>
    </row>
    <row r="511" spans="47:47" ht="13.8" x14ac:dyDescent="0.3">
      <c r="AU511" s="84"/>
    </row>
    <row r="512" spans="47:47" ht="13.8" x14ac:dyDescent="0.3">
      <c r="AU512" s="84"/>
    </row>
    <row r="513" spans="47:47" ht="13.8" x14ac:dyDescent="0.3">
      <c r="AU513" s="84"/>
    </row>
    <row r="514" spans="47:47" ht="13.8" x14ac:dyDescent="0.3">
      <c r="AU514" s="84"/>
    </row>
    <row r="515" spans="47:47" ht="13.8" x14ac:dyDescent="0.3">
      <c r="AU515" s="84"/>
    </row>
    <row r="516" spans="47:47" ht="13.8" x14ac:dyDescent="0.3">
      <c r="AU516" s="84"/>
    </row>
    <row r="517" spans="47:47" ht="13.8" x14ac:dyDescent="0.3">
      <c r="AU517" s="84"/>
    </row>
    <row r="518" spans="47:47" ht="13.8" x14ac:dyDescent="0.3">
      <c r="AU518" s="84"/>
    </row>
    <row r="519" spans="47:47" ht="13.8" x14ac:dyDescent="0.3">
      <c r="AU519" s="84"/>
    </row>
    <row r="520" spans="47:47" ht="13.8" x14ac:dyDescent="0.3">
      <c r="AU520" s="84"/>
    </row>
    <row r="521" spans="47:47" ht="13.8" x14ac:dyDescent="0.3">
      <c r="AU521" s="84"/>
    </row>
    <row r="522" spans="47:47" ht="13.8" x14ac:dyDescent="0.3">
      <c r="AU522" s="84"/>
    </row>
    <row r="523" spans="47:47" ht="13.8" x14ac:dyDescent="0.3">
      <c r="AU523" s="84"/>
    </row>
    <row r="524" spans="47:47" ht="13.8" x14ac:dyDescent="0.3">
      <c r="AU524" s="84"/>
    </row>
    <row r="525" spans="47:47" ht="13.8" x14ac:dyDescent="0.3">
      <c r="AU525" s="84"/>
    </row>
    <row r="526" spans="47:47" ht="13.8" x14ac:dyDescent="0.3">
      <c r="AU526" s="84"/>
    </row>
    <row r="527" spans="47:47" ht="13.8" x14ac:dyDescent="0.3">
      <c r="AU527" s="84"/>
    </row>
    <row r="528" spans="47:47" ht="13.8" x14ac:dyDescent="0.3">
      <c r="AU528" s="84"/>
    </row>
    <row r="529" spans="47:47" ht="13.8" x14ac:dyDescent="0.3">
      <c r="AU529" s="84"/>
    </row>
    <row r="530" spans="47:47" ht="13.8" x14ac:dyDescent="0.3">
      <c r="AU530" s="84"/>
    </row>
    <row r="531" spans="47:47" ht="13.8" x14ac:dyDescent="0.3">
      <c r="AU531" s="84"/>
    </row>
    <row r="532" spans="47:47" ht="13.8" x14ac:dyDescent="0.3">
      <c r="AU532" s="84"/>
    </row>
    <row r="533" spans="47:47" ht="13.8" x14ac:dyDescent="0.3">
      <c r="AU533" s="84"/>
    </row>
    <row r="534" spans="47:47" ht="13.8" x14ac:dyDescent="0.3">
      <c r="AU534" s="84"/>
    </row>
    <row r="535" spans="47:47" ht="13.8" x14ac:dyDescent="0.3">
      <c r="AU535" s="84"/>
    </row>
    <row r="536" spans="47:47" ht="13.8" x14ac:dyDescent="0.3">
      <c r="AU536" s="84"/>
    </row>
    <row r="537" spans="47:47" ht="13.8" x14ac:dyDescent="0.3">
      <c r="AU537" s="84"/>
    </row>
    <row r="538" spans="47:47" ht="13.8" x14ac:dyDescent="0.3">
      <c r="AU538" s="84"/>
    </row>
    <row r="539" spans="47:47" ht="13.8" x14ac:dyDescent="0.3">
      <c r="AU539" s="84"/>
    </row>
    <row r="540" spans="47:47" ht="13.8" x14ac:dyDescent="0.3">
      <c r="AU540" s="84"/>
    </row>
    <row r="541" spans="47:47" ht="13.8" x14ac:dyDescent="0.3">
      <c r="AU541" s="84"/>
    </row>
    <row r="542" spans="47:47" ht="13.8" x14ac:dyDescent="0.3">
      <c r="AU542" s="84"/>
    </row>
    <row r="543" spans="47:47" ht="13.8" x14ac:dyDescent="0.3">
      <c r="AU543" s="84"/>
    </row>
    <row r="544" spans="47:47" ht="13.8" x14ac:dyDescent="0.3">
      <c r="AU544" s="84"/>
    </row>
    <row r="545" spans="47:47" ht="13.8" x14ac:dyDescent="0.3">
      <c r="AU545" s="84"/>
    </row>
    <row r="546" spans="47:47" ht="13.8" x14ac:dyDescent="0.3">
      <c r="AU546" s="84"/>
    </row>
    <row r="547" spans="47:47" ht="13.8" x14ac:dyDescent="0.3">
      <c r="AU547" s="84"/>
    </row>
    <row r="548" spans="47:47" ht="13.8" x14ac:dyDescent="0.3">
      <c r="AU548" s="84"/>
    </row>
    <row r="549" spans="47:47" ht="13.8" x14ac:dyDescent="0.3">
      <c r="AU549" s="84"/>
    </row>
    <row r="550" spans="47:47" ht="13.8" x14ac:dyDescent="0.3">
      <c r="AU550" s="84"/>
    </row>
    <row r="551" spans="47:47" ht="13.8" x14ac:dyDescent="0.3">
      <c r="AU551" s="84"/>
    </row>
    <row r="552" spans="47:47" ht="13.8" x14ac:dyDescent="0.3">
      <c r="AU552" s="84"/>
    </row>
    <row r="553" spans="47:47" ht="13.8" x14ac:dyDescent="0.3">
      <c r="AU553" s="84"/>
    </row>
    <row r="554" spans="47:47" ht="13.8" x14ac:dyDescent="0.3">
      <c r="AU554" s="84"/>
    </row>
    <row r="555" spans="47:47" ht="13.8" x14ac:dyDescent="0.3">
      <c r="AU555" s="84"/>
    </row>
    <row r="556" spans="47:47" ht="13.8" x14ac:dyDescent="0.3">
      <c r="AU556" s="84"/>
    </row>
    <row r="557" spans="47:47" ht="13.8" x14ac:dyDescent="0.3">
      <c r="AU557" s="84"/>
    </row>
    <row r="558" spans="47:47" ht="13.8" x14ac:dyDescent="0.3">
      <c r="AU558" s="84"/>
    </row>
    <row r="559" spans="47:47" ht="13.8" x14ac:dyDescent="0.3">
      <c r="AU559" s="84"/>
    </row>
    <row r="560" spans="47:47" ht="13.8" x14ac:dyDescent="0.3">
      <c r="AU560" s="84"/>
    </row>
    <row r="561" spans="47:47" ht="13.8" x14ac:dyDescent="0.3">
      <c r="AU561" s="84"/>
    </row>
    <row r="562" spans="47:47" ht="13.8" x14ac:dyDescent="0.3">
      <c r="AU562" s="84"/>
    </row>
    <row r="563" spans="47:47" ht="13.8" x14ac:dyDescent="0.3">
      <c r="AU563" s="84"/>
    </row>
    <row r="564" spans="47:47" ht="13.8" x14ac:dyDescent="0.3">
      <c r="AU564" s="84"/>
    </row>
    <row r="565" spans="47:47" ht="13.8" x14ac:dyDescent="0.3">
      <c r="AU565" s="84"/>
    </row>
    <row r="566" spans="47:47" ht="13.8" x14ac:dyDescent="0.3">
      <c r="AU566" s="84"/>
    </row>
    <row r="567" spans="47:47" ht="13.8" x14ac:dyDescent="0.3">
      <c r="AU567" s="84"/>
    </row>
    <row r="568" spans="47:47" ht="13.8" x14ac:dyDescent="0.3">
      <c r="AU568" s="84"/>
    </row>
    <row r="569" spans="47:47" ht="13.8" x14ac:dyDescent="0.3">
      <c r="AU569" s="84"/>
    </row>
    <row r="570" spans="47:47" ht="13.8" x14ac:dyDescent="0.3">
      <c r="AU570" s="84"/>
    </row>
    <row r="571" spans="47:47" ht="13.8" x14ac:dyDescent="0.3">
      <c r="AU571" s="84"/>
    </row>
    <row r="572" spans="47:47" ht="13.8" x14ac:dyDescent="0.3">
      <c r="AU572" s="84"/>
    </row>
    <row r="573" spans="47:47" ht="13.8" x14ac:dyDescent="0.3">
      <c r="AU573" s="84"/>
    </row>
    <row r="574" spans="47:47" ht="13.8" x14ac:dyDescent="0.3">
      <c r="AU574" s="84"/>
    </row>
    <row r="575" spans="47:47" ht="13.8" x14ac:dyDescent="0.3">
      <c r="AU575" s="84"/>
    </row>
    <row r="576" spans="47:47" ht="13.8" x14ac:dyDescent="0.3">
      <c r="AU576" s="84"/>
    </row>
    <row r="577" spans="47:47" ht="13.8" x14ac:dyDescent="0.3">
      <c r="AU577" s="84"/>
    </row>
    <row r="578" spans="47:47" ht="13.8" x14ac:dyDescent="0.3">
      <c r="AU578" s="84"/>
    </row>
    <row r="579" spans="47:47" ht="13.8" x14ac:dyDescent="0.3">
      <c r="AU579" s="84"/>
    </row>
    <row r="580" spans="47:47" ht="13.8" x14ac:dyDescent="0.3">
      <c r="AU580" s="84"/>
    </row>
    <row r="581" spans="47:47" ht="13.8" x14ac:dyDescent="0.3">
      <c r="AU581" s="84"/>
    </row>
    <row r="582" spans="47:47" ht="13.8" x14ac:dyDescent="0.3">
      <c r="AU582" s="84"/>
    </row>
    <row r="583" spans="47:47" ht="13.8" x14ac:dyDescent="0.3">
      <c r="AU583" s="84"/>
    </row>
    <row r="584" spans="47:47" ht="13.8" x14ac:dyDescent="0.3">
      <c r="AU584" s="84"/>
    </row>
    <row r="585" spans="47:47" ht="13.8" x14ac:dyDescent="0.3">
      <c r="AU585" s="84"/>
    </row>
    <row r="586" spans="47:47" ht="13.8" x14ac:dyDescent="0.3">
      <c r="AU586" s="84"/>
    </row>
    <row r="587" spans="47:47" ht="13.8" x14ac:dyDescent="0.3">
      <c r="AU587" s="84"/>
    </row>
    <row r="588" spans="47:47" ht="13.8" x14ac:dyDescent="0.3">
      <c r="AU588" s="84"/>
    </row>
    <row r="589" spans="47:47" ht="13.8" x14ac:dyDescent="0.3">
      <c r="AU589" s="84"/>
    </row>
    <row r="590" spans="47:47" ht="13.8" x14ac:dyDescent="0.3">
      <c r="AU590" s="84"/>
    </row>
    <row r="591" spans="47:47" ht="13.8" x14ac:dyDescent="0.3">
      <c r="AU591" s="84"/>
    </row>
    <row r="592" spans="47:47" ht="13.8" x14ac:dyDescent="0.3">
      <c r="AU592" s="84"/>
    </row>
    <row r="593" spans="47:47" ht="13.8" x14ac:dyDescent="0.3">
      <c r="AU593" s="84"/>
    </row>
    <row r="594" spans="47:47" ht="13.8" x14ac:dyDescent="0.3">
      <c r="AU594" s="84"/>
    </row>
    <row r="595" spans="47:47" ht="13.8" x14ac:dyDescent="0.3">
      <c r="AU595" s="84"/>
    </row>
    <row r="596" spans="47:47" ht="13.8" x14ac:dyDescent="0.3">
      <c r="AU596" s="84"/>
    </row>
    <row r="597" spans="47:47" ht="13.8" x14ac:dyDescent="0.3">
      <c r="AU597" s="84"/>
    </row>
    <row r="598" spans="47:47" ht="13.8" x14ac:dyDescent="0.3">
      <c r="AU598" s="84"/>
    </row>
    <row r="599" spans="47:47" ht="13.8" x14ac:dyDescent="0.3">
      <c r="AU599" s="84"/>
    </row>
    <row r="600" spans="47:47" ht="13.8" x14ac:dyDescent="0.3">
      <c r="AU600" s="84"/>
    </row>
    <row r="601" spans="47:47" ht="13.8" x14ac:dyDescent="0.3">
      <c r="AU601" s="84"/>
    </row>
    <row r="602" spans="47:47" ht="13.8" x14ac:dyDescent="0.3">
      <c r="AU602" s="84"/>
    </row>
    <row r="603" spans="47:47" ht="13.8" x14ac:dyDescent="0.3">
      <c r="AU603" s="84"/>
    </row>
    <row r="604" spans="47:47" ht="13.8" x14ac:dyDescent="0.3">
      <c r="AU604" s="84"/>
    </row>
    <row r="605" spans="47:47" ht="13.8" x14ac:dyDescent="0.3">
      <c r="AU605" s="84"/>
    </row>
    <row r="606" spans="47:47" ht="13.8" x14ac:dyDescent="0.3">
      <c r="AU606" s="84"/>
    </row>
    <row r="607" spans="47:47" ht="13.8" x14ac:dyDescent="0.3">
      <c r="AU607" s="84"/>
    </row>
    <row r="608" spans="47:47" ht="13.8" x14ac:dyDescent="0.3">
      <c r="AU608" s="84"/>
    </row>
    <row r="609" spans="47:47" ht="13.8" x14ac:dyDescent="0.3">
      <c r="AU609" s="84"/>
    </row>
    <row r="610" spans="47:47" ht="13.8" x14ac:dyDescent="0.3">
      <c r="AU610" s="84"/>
    </row>
    <row r="611" spans="47:47" ht="13.8" x14ac:dyDescent="0.3">
      <c r="AU611" s="84"/>
    </row>
    <row r="612" spans="47:47" ht="13.8" x14ac:dyDescent="0.3">
      <c r="AU612" s="84"/>
    </row>
    <row r="613" spans="47:47" ht="13.8" x14ac:dyDescent="0.3">
      <c r="AU613" s="84"/>
    </row>
    <row r="614" spans="47:47" ht="13.8" x14ac:dyDescent="0.3">
      <c r="AU614" s="84"/>
    </row>
    <row r="615" spans="47:47" ht="13.8" x14ac:dyDescent="0.3">
      <c r="AU615" s="84"/>
    </row>
    <row r="616" spans="47:47" ht="13.8" x14ac:dyDescent="0.3">
      <c r="AU616" s="84"/>
    </row>
    <row r="617" spans="47:47" ht="13.8" x14ac:dyDescent="0.3">
      <c r="AU617" s="84"/>
    </row>
    <row r="618" spans="47:47" ht="13.8" x14ac:dyDescent="0.3">
      <c r="AU618" s="84"/>
    </row>
    <row r="619" spans="47:47" ht="13.8" x14ac:dyDescent="0.3">
      <c r="AU619" s="84"/>
    </row>
    <row r="620" spans="47:47" ht="13.8" x14ac:dyDescent="0.3">
      <c r="AU620" s="84"/>
    </row>
    <row r="621" spans="47:47" ht="13.8" x14ac:dyDescent="0.3">
      <c r="AU621" s="84"/>
    </row>
    <row r="622" spans="47:47" ht="13.8" x14ac:dyDescent="0.3">
      <c r="AU622" s="84"/>
    </row>
    <row r="623" spans="47:47" ht="13.8" x14ac:dyDescent="0.3">
      <c r="AU623" s="84"/>
    </row>
    <row r="624" spans="47:47" ht="13.8" x14ac:dyDescent="0.3">
      <c r="AU624" s="84"/>
    </row>
    <row r="625" spans="47:47" ht="13.8" x14ac:dyDescent="0.3">
      <c r="AU625" s="84"/>
    </row>
    <row r="626" spans="47:47" ht="13.8" x14ac:dyDescent="0.3">
      <c r="AU626" s="84"/>
    </row>
    <row r="627" spans="47:47" ht="13.8" x14ac:dyDescent="0.3">
      <c r="AU627" s="84"/>
    </row>
    <row r="628" spans="47:47" ht="13.8" x14ac:dyDescent="0.3">
      <c r="AU628" s="84"/>
    </row>
    <row r="629" spans="47:47" ht="13.8" x14ac:dyDescent="0.3">
      <c r="AU629" s="84"/>
    </row>
    <row r="630" spans="47:47" ht="13.8" x14ac:dyDescent="0.3">
      <c r="AU630" s="84"/>
    </row>
    <row r="631" spans="47:47" ht="13.8" x14ac:dyDescent="0.3">
      <c r="AU631" s="84"/>
    </row>
    <row r="632" spans="47:47" ht="13.8" x14ac:dyDescent="0.3">
      <c r="AU632" s="84"/>
    </row>
    <row r="633" spans="47:47" ht="13.8" x14ac:dyDescent="0.3">
      <c r="AU633" s="84"/>
    </row>
    <row r="634" spans="47:47" ht="13.8" x14ac:dyDescent="0.3">
      <c r="AU634" s="84"/>
    </row>
    <row r="635" spans="47:47" ht="13.8" x14ac:dyDescent="0.3">
      <c r="AU635" s="84"/>
    </row>
    <row r="636" spans="47:47" ht="13.8" x14ac:dyDescent="0.3">
      <c r="AU636" s="84"/>
    </row>
    <row r="637" spans="47:47" ht="13.8" x14ac:dyDescent="0.3">
      <c r="AU637" s="84"/>
    </row>
    <row r="638" spans="47:47" ht="13.8" x14ac:dyDescent="0.3">
      <c r="AU638" s="84"/>
    </row>
    <row r="639" spans="47:47" ht="13.8" x14ac:dyDescent="0.3">
      <c r="AU639" s="84"/>
    </row>
    <row r="640" spans="47:47" ht="13.8" x14ac:dyDescent="0.3">
      <c r="AU640" s="84"/>
    </row>
    <row r="641" spans="47:47" ht="13.8" x14ac:dyDescent="0.3">
      <c r="AU641" s="84"/>
    </row>
    <row r="642" spans="47:47" ht="13.8" x14ac:dyDescent="0.3">
      <c r="AU642" s="84"/>
    </row>
    <row r="643" spans="47:47" ht="13.8" x14ac:dyDescent="0.3">
      <c r="AU643" s="84"/>
    </row>
    <row r="644" spans="47:47" ht="13.8" x14ac:dyDescent="0.3">
      <c r="AU644" s="84"/>
    </row>
    <row r="645" spans="47:47" ht="13.8" x14ac:dyDescent="0.3">
      <c r="AU645" s="84"/>
    </row>
    <row r="646" spans="47:47" ht="13.8" x14ac:dyDescent="0.3">
      <c r="AU646" s="84"/>
    </row>
    <row r="647" spans="47:47" ht="13.8" x14ac:dyDescent="0.3">
      <c r="AU647" s="84"/>
    </row>
    <row r="648" spans="47:47" ht="13.8" x14ac:dyDescent="0.3">
      <c r="AU648" s="84"/>
    </row>
    <row r="649" spans="47:47" ht="13.8" x14ac:dyDescent="0.3">
      <c r="AU649" s="84"/>
    </row>
    <row r="650" spans="47:47" ht="13.8" x14ac:dyDescent="0.3">
      <c r="AU650" s="84"/>
    </row>
    <row r="651" spans="47:47" ht="13.8" x14ac:dyDescent="0.3">
      <c r="AU651" s="84"/>
    </row>
    <row r="652" spans="47:47" ht="13.8" x14ac:dyDescent="0.3">
      <c r="AU652" s="84"/>
    </row>
    <row r="653" spans="47:47" ht="13.8" x14ac:dyDescent="0.3">
      <c r="AU653" s="84"/>
    </row>
    <row r="654" spans="47:47" ht="13.8" x14ac:dyDescent="0.3">
      <c r="AU654" s="84"/>
    </row>
    <row r="655" spans="47:47" ht="13.8" x14ac:dyDescent="0.3">
      <c r="AU655" s="84"/>
    </row>
    <row r="656" spans="47:47" ht="13.8" x14ac:dyDescent="0.3">
      <c r="AU656" s="84"/>
    </row>
    <row r="657" spans="47:47" ht="13.8" x14ac:dyDescent="0.3">
      <c r="AU657" s="84"/>
    </row>
    <row r="658" spans="47:47" ht="13.8" x14ac:dyDescent="0.3">
      <c r="AU658" s="84"/>
    </row>
    <row r="659" spans="47:47" ht="13.8" x14ac:dyDescent="0.3">
      <c r="AU659" s="84"/>
    </row>
    <row r="660" spans="47:47" ht="13.8" x14ac:dyDescent="0.3">
      <c r="AU660" s="84"/>
    </row>
    <row r="661" spans="47:47" ht="13.8" x14ac:dyDescent="0.3">
      <c r="AU661" s="84"/>
    </row>
    <row r="662" spans="47:47" ht="13.8" x14ac:dyDescent="0.3">
      <c r="AU662" s="84"/>
    </row>
    <row r="663" spans="47:47" ht="13.8" x14ac:dyDescent="0.3">
      <c r="AU663" s="84"/>
    </row>
    <row r="664" spans="47:47" ht="13.8" x14ac:dyDescent="0.3">
      <c r="AU664" s="84"/>
    </row>
    <row r="665" spans="47:47" ht="13.8" x14ac:dyDescent="0.3">
      <c r="AU665" s="84"/>
    </row>
    <row r="666" spans="47:47" ht="13.8" x14ac:dyDescent="0.3">
      <c r="AU666" s="84"/>
    </row>
    <row r="667" spans="47:47" ht="13.8" x14ac:dyDescent="0.3">
      <c r="AU667" s="84"/>
    </row>
    <row r="668" spans="47:47" ht="13.8" x14ac:dyDescent="0.3">
      <c r="AU668" s="84"/>
    </row>
    <row r="669" spans="47:47" ht="13.8" x14ac:dyDescent="0.3">
      <c r="AU669" s="84"/>
    </row>
    <row r="670" spans="47:47" ht="13.8" x14ac:dyDescent="0.3">
      <c r="AU670" s="84"/>
    </row>
    <row r="671" spans="47:47" ht="13.8" x14ac:dyDescent="0.3">
      <c r="AU671" s="84"/>
    </row>
    <row r="672" spans="47:47" ht="13.8" x14ac:dyDescent="0.3">
      <c r="AU672" s="84"/>
    </row>
    <row r="673" spans="47:47" ht="13.8" x14ac:dyDescent="0.3">
      <c r="AU673" s="84"/>
    </row>
    <row r="674" spans="47:47" ht="13.8" x14ac:dyDescent="0.3">
      <c r="AU674" s="84"/>
    </row>
    <row r="675" spans="47:47" ht="13.8" x14ac:dyDescent="0.3">
      <c r="AU675" s="84"/>
    </row>
    <row r="676" spans="47:47" ht="13.8" x14ac:dyDescent="0.3">
      <c r="AU676" s="84"/>
    </row>
    <row r="677" spans="47:47" ht="13.8" x14ac:dyDescent="0.3">
      <c r="AU677" s="84"/>
    </row>
    <row r="678" spans="47:47" ht="13.8" x14ac:dyDescent="0.3">
      <c r="AU678" s="84"/>
    </row>
    <row r="679" spans="47:47" ht="13.8" x14ac:dyDescent="0.3">
      <c r="AU679" s="84"/>
    </row>
    <row r="680" spans="47:47" ht="13.8" x14ac:dyDescent="0.3">
      <c r="AU680" s="84"/>
    </row>
    <row r="681" spans="47:47" ht="13.8" x14ac:dyDescent="0.3">
      <c r="AU681" s="84"/>
    </row>
    <row r="682" spans="47:47" ht="13.8" x14ac:dyDescent="0.3">
      <c r="AU682" s="84"/>
    </row>
    <row r="683" spans="47:47" ht="13.8" x14ac:dyDescent="0.3">
      <c r="AU683" s="84"/>
    </row>
    <row r="684" spans="47:47" ht="13.8" x14ac:dyDescent="0.3">
      <c r="AU684" s="84"/>
    </row>
    <row r="685" spans="47:47" ht="13.8" x14ac:dyDescent="0.3">
      <c r="AU685" s="84"/>
    </row>
    <row r="686" spans="47:47" ht="13.8" x14ac:dyDescent="0.3">
      <c r="AU686" s="84"/>
    </row>
    <row r="687" spans="47:47" ht="13.8" x14ac:dyDescent="0.3">
      <c r="AU687" s="84"/>
    </row>
    <row r="688" spans="47:47" ht="13.8" x14ac:dyDescent="0.3">
      <c r="AU688" s="84"/>
    </row>
    <row r="689" spans="47:47" ht="13.8" x14ac:dyDescent="0.3">
      <c r="AU689" s="84"/>
    </row>
    <row r="690" spans="47:47" ht="13.8" x14ac:dyDescent="0.3">
      <c r="AU690" s="84"/>
    </row>
    <row r="691" spans="47:47" ht="13.8" x14ac:dyDescent="0.3">
      <c r="AU691" s="84"/>
    </row>
    <row r="692" spans="47:47" ht="13.8" x14ac:dyDescent="0.3">
      <c r="AU692" s="84"/>
    </row>
    <row r="693" spans="47:47" ht="13.8" x14ac:dyDescent="0.3">
      <c r="AU693" s="84"/>
    </row>
    <row r="694" spans="47:47" ht="13.8" x14ac:dyDescent="0.3">
      <c r="AU694" s="84"/>
    </row>
    <row r="695" spans="47:47" ht="13.8" x14ac:dyDescent="0.3">
      <c r="AU695" s="84"/>
    </row>
    <row r="696" spans="47:47" ht="13.8" x14ac:dyDescent="0.3">
      <c r="AU696" s="84"/>
    </row>
    <row r="697" spans="47:47" ht="13.8" x14ac:dyDescent="0.3">
      <c r="AU697" s="84"/>
    </row>
    <row r="698" spans="47:47" ht="13.8" x14ac:dyDescent="0.3">
      <c r="AU698" s="84"/>
    </row>
    <row r="699" spans="47:47" ht="13.8" x14ac:dyDescent="0.3">
      <c r="AU699" s="84"/>
    </row>
    <row r="700" spans="47:47" ht="13.8" x14ac:dyDescent="0.3">
      <c r="AU700" s="84"/>
    </row>
    <row r="701" spans="47:47" ht="13.8" x14ac:dyDescent="0.3">
      <c r="AU701" s="84"/>
    </row>
    <row r="702" spans="47:47" ht="13.8" x14ac:dyDescent="0.3">
      <c r="AU702" s="84"/>
    </row>
    <row r="703" spans="47:47" ht="13.8" x14ac:dyDescent="0.3">
      <c r="AU703" s="84"/>
    </row>
    <row r="704" spans="47:47" ht="13.8" x14ac:dyDescent="0.3">
      <c r="AU704" s="84"/>
    </row>
    <row r="705" spans="47:47" ht="13.8" x14ac:dyDescent="0.3">
      <c r="AU705" s="84"/>
    </row>
    <row r="706" spans="47:47" ht="13.8" x14ac:dyDescent="0.3">
      <c r="AU706" s="84"/>
    </row>
    <row r="707" spans="47:47" ht="13.8" x14ac:dyDescent="0.3">
      <c r="AU707" s="84"/>
    </row>
    <row r="708" spans="47:47" ht="13.8" x14ac:dyDescent="0.3">
      <c r="AU708" s="84"/>
    </row>
    <row r="709" spans="47:47" ht="13.8" x14ac:dyDescent="0.3">
      <c r="AU709" s="84"/>
    </row>
    <row r="710" spans="47:47" ht="13.8" x14ac:dyDescent="0.3">
      <c r="AU710" s="84"/>
    </row>
    <row r="711" spans="47:47" ht="13.8" x14ac:dyDescent="0.3">
      <c r="AU711" s="84"/>
    </row>
    <row r="712" spans="47:47" ht="13.8" x14ac:dyDescent="0.3">
      <c r="AU712" s="84"/>
    </row>
    <row r="713" spans="47:47" ht="13.8" x14ac:dyDescent="0.3">
      <c r="AU713" s="84"/>
    </row>
    <row r="714" spans="47:47" ht="13.8" x14ac:dyDescent="0.3">
      <c r="AU714" s="84"/>
    </row>
    <row r="715" spans="47:47" ht="13.8" x14ac:dyDescent="0.3">
      <c r="AU715" s="84"/>
    </row>
    <row r="716" spans="47:47" ht="13.8" x14ac:dyDescent="0.3">
      <c r="AU716" s="84"/>
    </row>
    <row r="717" spans="47:47" ht="13.8" x14ac:dyDescent="0.3">
      <c r="AU717" s="84"/>
    </row>
    <row r="718" spans="47:47" ht="13.8" x14ac:dyDescent="0.3">
      <c r="AU718" s="84"/>
    </row>
    <row r="719" spans="47:47" ht="13.8" x14ac:dyDescent="0.3">
      <c r="AU719" s="84"/>
    </row>
    <row r="720" spans="47:47" ht="13.8" x14ac:dyDescent="0.3">
      <c r="AU720" s="84"/>
    </row>
    <row r="721" spans="47:47" ht="13.8" x14ac:dyDescent="0.3">
      <c r="AU721" s="84"/>
    </row>
    <row r="722" spans="47:47" ht="13.8" x14ac:dyDescent="0.3">
      <c r="AU722" s="84"/>
    </row>
    <row r="723" spans="47:47" ht="13.8" x14ac:dyDescent="0.3">
      <c r="AU723" s="84"/>
    </row>
    <row r="724" spans="47:47" ht="13.8" x14ac:dyDescent="0.3">
      <c r="AU724" s="84"/>
    </row>
    <row r="725" spans="47:47" ht="13.8" x14ac:dyDescent="0.3">
      <c r="AU725" s="84"/>
    </row>
    <row r="726" spans="47:47" ht="13.8" x14ac:dyDescent="0.3">
      <c r="AU726" s="84"/>
    </row>
    <row r="727" spans="47:47" ht="13.8" x14ac:dyDescent="0.3">
      <c r="AU727" s="84"/>
    </row>
    <row r="728" spans="47:47" ht="13.8" x14ac:dyDescent="0.3">
      <c r="AU728" s="84"/>
    </row>
    <row r="729" spans="47:47" ht="13.8" x14ac:dyDescent="0.3">
      <c r="AU729" s="84"/>
    </row>
    <row r="730" spans="47:47" ht="13.8" x14ac:dyDescent="0.3">
      <c r="AU730" s="84"/>
    </row>
    <row r="731" spans="47:47" ht="13.8" x14ac:dyDescent="0.3">
      <c r="AU731" s="84"/>
    </row>
    <row r="732" spans="47:47" ht="13.8" x14ac:dyDescent="0.3">
      <c r="AU732" s="84"/>
    </row>
    <row r="733" spans="47:47" ht="13.8" x14ac:dyDescent="0.3">
      <c r="AU733" s="84"/>
    </row>
    <row r="734" spans="47:47" ht="13.8" x14ac:dyDescent="0.3">
      <c r="AU734" s="84"/>
    </row>
    <row r="735" spans="47:47" ht="13.8" x14ac:dyDescent="0.3">
      <c r="AU735" s="84"/>
    </row>
    <row r="736" spans="47:47" ht="13.8" x14ac:dyDescent="0.3">
      <c r="AU736" s="84"/>
    </row>
    <row r="737" spans="47:47" ht="13.8" x14ac:dyDescent="0.3">
      <c r="AU737" s="84"/>
    </row>
    <row r="738" spans="47:47" ht="13.8" x14ac:dyDescent="0.3">
      <c r="AU738" s="84"/>
    </row>
    <row r="739" spans="47:47" ht="13.8" x14ac:dyDescent="0.3">
      <c r="AU739" s="84"/>
    </row>
    <row r="740" spans="47:47" ht="13.8" x14ac:dyDescent="0.3">
      <c r="AU740" s="84"/>
    </row>
    <row r="741" spans="47:47" ht="13.8" x14ac:dyDescent="0.3">
      <c r="AU741" s="84"/>
    </row>
    <row r="742" spans="47:47" ht="13.8" x14ac:dyDescent="0.3">
      <c r="AU742" s="84"/>
    </row>
    <row r="743" spans="47:47" ht="13.8" x14ac:dyDescent="0.3">
      <c r="AU743" s="84"/>
    </row>
    <row r="744" spans="47:47" ht="13.8" x14ac:dyDescent="0.3">
      <c r="AU744" s="84"/>
    </row>
    <row r="745" spans="47:47" ht="13.8" x14ac:dyDescent="0.3">
      <c r="AU745" s="84"/>
    </row>
    <row r="746" spans="47:47" ht="13.8" x14ac:dyDescent="0.3">
      <c r="AU746" s="84"/>
    </row>
    <row r="747" spans="47:47" ht="13.8" x14ac:dyDescent="0.3">
      <c r="AU747" s="84"/>
    </row>
    <row r="748" spans="47:47" ht="13.8" x14ac:dyDescent="0.3">
      <c r="AU748" s="84"/>
    </row>
    <row r="749" spans="47:47" ht="13.8" x14ac:dyDescent="0.3">
      <c r="AU749" s="84"/>
    </row>
    <row r="750" spans="47:47" ht="13.8" x14ac:dyDescent="0.3">
      <c r="AU750" s="84"/>
    </row>
    <row r="751" spans="47:47" ht="13.8" x14ac:dyDescent="0.3">
      <c r="AU751" s="84"/>
    </row>
    <row r="752" spans="47:47" ht="13.8" x14ac:dyDescent="0.3">
      <c r="AU752" s="84"/>
    </row>
    <row r="753" spans="47:47" ht="13.8" x14ac:dyDescent="0.3">
      <c r="AU753" s="84"/>
    </row>
    <row r="754" spans="47:47" ht="13.8" x14ac:dyDescent="0.3">
      <c r="AU754" s="84"/>
    </row>
    <row r="755" spans="47:47" ht="13.8" x14ac:dyDescent="0.3">
      <c r="AU755" s="84"/>
    </row>
    <row r="756" spans="47:47" ht="13.8" x14ac:dyDescent="0.3">
      <c r="AU756" s="84"/>
    </row>
    <row r="757" spans="47:47" ht="13.8" x14ac:dyDescent="0.3">
      <c r="AU757" s="84"/>
    </row>
    <row r="758" spans="47:47" ht="13.8" x14ac:dyDescent="0.3">
      <c r="AU758" s="84"/>
    </row>
    <row r="759" spans="47:47" ht="13.8" x14ac:dyDescent="0.3">
      <c r="AU759" s="84"/>
    </row>
    <row r="760" spans="47:47" ht="13.8" x14ac:dyDescent="0.3">
      <c r="AU760" s="84"/>
    </row>
    <row r="761" spans="47:47" ht="13.8" x14ac:dyDescent="0.3">
      <c r="AU761" s="84"/>
    </row>
    <row r="762" spans="47:47" ht="13.8" x14ac:dyDescent="0.3">
      <c r="AU762" s="84"/>
    </row>
    <row r="763" spans="47:47" ht="13.8" x14ac:dyDescent="0.3">
      <c r="AU763" s="84"/>
    </row>
    <row r="764" spans="47:47" ht="13.8" x14ac:dyDescent="0.3">
      <c r="AU764" s="84"/>
    </row>
    <row r="765" spans="47:47" ht="13.8" x14ac:dyDescent="0.3">
      <c r="AU765" s="84"/>
    </row>
    <row r="766" spans="47:47" ht="13.8" x14ac:dyDescent="0.3">
      <c r="AU766" s="84"/>
    </row>
    <row r="767" spans="47:47" ht="13.8" x14ac:dyDescent="0.3">
      <c r="AU767" s="84"/>
    </row>
    <row r="768" spans="47:47" ht="13.8" x14ac:dyDescent="0.3">
      <c r="AU768" s="84"/>
    </row>
    <row r="769" spans="47:47" ht="13.8" x14ac:dyDescent="0.3">
      <c r="AU769" s="84"/>
    </row>
    <row r="770" spans="47:47" ht="13.8" x14ac:dyDescent="0.3">
      <c r="AU770" s="84"/>
    </row>
    <row r="771" spans="47:47" ht="13.8" x14ac:dyDescent="0.3">
      <c r="AU771" s="84"/>
    </row>
    <row r="772" spans="47:47" ht="13.8" x14ac:dyDescent="0.3">
      <c r="AU772" s="84"/>
    </row>
    <row r="773" spans="47:47" ht="13.8" x14ac:dyDescent="0.3">
      <c r="AU773" s="84"/>
    </row>
    <row r="774" spans="47:47" ht="13.8" x14ac:dyDescent="0.3">
      <c r="AU774" s="84"/>
    </row>
    <row r="775" spans="47:47" ht="13.8" x14ac:dyDescent="0.3">
      <c r="AU775" s="84"/>
    </row>
    <row r="776" spans="47:47" ht="13.8" x14ac:dyDescent="0.3">
      <c r="AU776" s="84"/>
    </row>
    <row r="777" spans="47:47" ht="13.8" x14ac:dyDescent="0.3">
      <c r="AU777" s="84"/>
    </row>
    <row r="778" spans="47:47" ht="13.8" x14ac:dyDescent="0.3">
      <c r="AU778" s="84"/>
    </row>
    <row r="779" spans="47:47" ht="13.8" x14ac:dyDescent="0.3">
      <c r="AU779" s="84"/>
    </row>
    <row r="780" spans="47:47" ht="13.8" x14ac:dyDescent="0.3">
      <c r="AU780" s="84"/>
    </row>
    <row r="781" spans="47:47" ht="13.8" x14ac:dyDescent="0.3">
      <c r="AU781" s="84"/>
    </row>
    <row r="782" spans="47:47" ht="13.8" x14ac:dyDescent="0.3">
      <c r="AU782" s="84"/>
    </row>
    <row r="783" spans="47:47" ht="13.8" x14ac:dyDescent="0.3">
      <c r="AU783" s="84"/>
    </row>
    <row r="784" spans="47:47" ht="13.8" x14ac:dyDescent="0.3">
      <c r="AU784" s="84"/>
    </row>
    <row r="785" spans="47:47" ht="13.8" x14ac:dyDescent="0.3">
      <c r="AU785" s="84"/>
    </row>
    <row r="786" spans="47:47" ht="13.8" x14ac:dyDescent="0.3">
      <c r="AU786" s="84"/>
    </row>
    <row r="787" spans="47:47" ht="13.8" x14ac:dyDescent="0.3">
      <c r="AU787" s="84"/>
    </row>
    <row r="788" spans="47:47" ht="13.8" x14ac:dyDescent="0.3">
      <c r="AU788" s="84"/>
    </row>
    <row r="789" spans="47:47" ht="13.8" x14ac:dyDescent="0.3">
      <c r="AU789" s="84"/>
    </row>
    <row r="790" spans="47:47" ht="13.8" x14ac:dyDescent="0.3">
      <c r="AU790" s="84"/>
    </row>
    <row r="791" spans="47:47" ht="13.8" x14ac:dyDescent="0.3">
      <c r="AU791" s="84"/>
    </row>
    <row r="792" spans="47:47" ht="13.8" x14ac:dyDescent="0.3">
      <c r="AU792" s="84"/>
    </row>
    <row r="793" spans="47:47" ht="13.8" x14ac:dyDescent="0.3">
      <c r="AU793" s="84"/>
    </row>
    <row r="794" spans="47:47" ht="13.8" x14ac:dyDescent="0.3">
      <c r="AU794" s="84"/>
    </row>
    <row r="795" spans="47:47" ht="13.8" x14ac:dyDescent="0.3">
      <c r="AU795" s="84"/>
    </row>
    <row r="796" spans="47:47" ht="13.8" x14ac:dyDescent="0.3">
      <c r="AU796" s="84"/>
    </row>
    <row r="797" spans="47:47" ht="13.8" x14ac:dyDescent="0.3">
      <c r="AU797" s="84"/>
    </row>
    <row r="798" spans="47:47" ht="13.8" x14ac:dyDescent="0.3">
      <c r="AU798" s="84"/>
    </row>
    <row r="799" spans="47:47" ht="13.8" x14ac:dyDescent="0.3">
      <c r="AU799" s="84"/>
    </row>
    <row r="800" spans="47:47" ht="13.8" x14ac:dyDescent="0.3">
      <c r="AU800" s="84"/>
    </row>
    <row r="801" spans="47:47" ht="13.8" x14ac:dyDescent="0.3">
      <c r="AU801" s="84"/>
    </row>
    <row r="802" spans="47:47" ht="13.8" x14ac:dyDescent="0.3">
      <c r="AU802" s="84"/>
    </row>
    <row r="803" spans="47:47" ht="13.8" x14ac:dyDescent="0.3">
      <c r="AU803" s="84"/>
    </row>
    <row r="804" spans="47:47" ht="13.8" x14ac:dyDescent="0.3">
      <c r="AU804" s="84"/>
    </row>
    <row r="805" spans="47:47" ht="13.8" x14ac:dyDescent="0.3">
      <c r="AU805" s="84"/>
    </row>
    <row r="806" spans="47:47" ht="13.8" x14ac:dyDescent="0.3">
      <c r="AU806" s="84"/>
    </row>
    <row r="807" spans="47:47" ht="13.8" x14ac:dyDescent="0.3">
      <c r="AU807" s="84"/>
    </row>
    <row r="808" spans="47:47" ht="13.8" x14ac:dyDescent="0.3">
      <c r="AU808" s="84"/>
    </row>
    <row r="809" spans="47:47" ht="13.8" x14ac:dyDescent="0.3">
      <c r="AU809" s="84"/>
    </row>
    <row r="810" spans="47:47" ht="13.8" x14ac:dyDescent="0.3">
      <c r="AU810" s="84"/>
    </row>
    <row r="811" spans="47:47" ht="13.8" x14ac:dyDescent="0.3">
      <c r="AU811" s="84"/>
    </row>
    <row r="812" spans="47:47" ht="13.8" x14ac:dyDescent="0.3">
      <c r="AU812" s="84"/>
    </row>
    <row r="813" spans="47:47" ht="13.8" x14ac:dyDescent="0.3">
      <c r="AU813" s="84"/>
    </row>
    <row r="814" spans="47:47" ht="13.8" x14ac:dyDescent="0.3">
      <c r="AU814" s="84"/>
    </row>
    <row r="815" spans="47:47" ht="13.8" x14ac:dyDescent="0.3">
      <c r="AU815" s="84"/>
    </row>
    <row r="816" spans="47:47" ht="13.8" x14ac:dyDescent="0.3">
      <c r="AU816" s="84"/>
    </row>
    <row r="817" spans="47:47" ht="13.8" x14ac:dyDescent="0.3">
      <c r="AU817" s="84"/>
    </row>
    <row r="818" spans="47:47" ht="13.8" x14ac:dyDescent="0.3">
      <c r="AU818" s="84"/>
    </row>
    <row r="819" spans="47:47" ht="13.8" x14ac:dyDescent="0.3">
      <c r="AU819" s="84"/>
    </row>
    <row r="820" spans="47:47" ht="13.8" x14ac:dyDescent="0.3">
      <c r="AU820" s="84"/>
    </row>
    <row r="821" spans="47:47" ht="13.8" x14ac:dyDescent="0.3">
      <c r="AU821" s="84"/>
    </row>
    <row r="822" spans="47:47" ht="13.8" x14ac:dyDescent="0.3">
      <c r="AU822" s="84"/>
    </row>
    <row r="823" spans="47:47" ht="13.8" x14ac:dyDescent="0.3">
      <c r="AU823" s="84"/>
    </row>
    <row r="824" spans="47:47" ht="13.8" x14ac:dyDescent="0.3">
      <c r="AU824" s="84"/>
    </row>
    <row r="825" spans="47:47" ht="13.8" x14ac:dyDescent="0.3">
      <c r="AU825" s="84"/>
    </row>
    <row r="826" spans="47:47" ht="13.8" x14ac:dyDescent="0.3">
      <c r="AU826" s="84"/>
    </row>
    <row r="827" spans="47:47" ht="13.8" x14ac:dyDescent="0.3">
      <c r="AU827" s="84"/>
    </row>
    <row r="828" spans="47:47" ht="13.8" x14ac:dyDescent="0.3">
      <c r="AU828" s="84"/>
    </row>
    <row r="829" spans="47:47" ht="13.8" x14ac:dyDescent="0.3">
      <c r="AU829" s="84"/>
    </row>
    <row r="830" spans="47:47" ht="13.8" x14ac:dyDescent="0.3">
      <c r="AU830" s="84"/>
    </row>
    <row r="831" spans="47:47" ht="13.8" x14ac:dyDescent="0.3">
      <c r="AU831" s="84"/>
    </row>
    <row r="832" spans="47:47" ht="13.8" x14ac:dyDescent="0.3">
      <c r="AU832" s="84"/>
    </row>
    <row r="833" spans="47:47" ht="13.8" x14ac:dyDescent="0.3">
      <c r="AU833" s="84"/>
    </row>
    <row r="834" spans="47:47" ht="13.8" x14ac:dyDescent="0.3">
      <c r="AU834" s="84"/>
    </row>
    <row r="835" spans="47:47" ht="13.8" x14ac:dyDescent="0.3">
      <c r="AU835" s="84"/>
    </row>
    <row r="836" spans="47:47" ht="13.8" x14ac:dyDescent="0.3">
      <c r="AU836" s="84"/>
    </row>
    <row r="837" spans="47:47" ht="13.8" x14ac:dyDescent="0.3">
      <c r="AU837" s="84"/>
    </row>
    <row r="838" spans="47:47" ht="13.8" x14ac:dyDescent="0.3">
      <c r="AU838" s="84"/>
    </row>
    <row r="839" spans="47:47" ht="13.8" x14ac:dyDescent="0.3">
      <c r="AU839" s="84"/>
    </row>
    <row r="840" spans="47:47" ht="13.8" x14ac:dyDescent="0.3">
      <c r="AU840" s="84"/>
    </row>
    <row r="841" spans="47:47" ht="13.8" x14ac:dyDescent="0.3">
      <c r="AU841" s="84"/>
    </row>
    <row r="842" spans="47:47" ht="13.8" x14ac:dyDescent="0.3">
      <c r="AU842" s="84"/>
    </row>
    <row r="843" spans="47:47" ht="13.8" x14ac:dyDescent="0.3">
      <c r="AU843" s="84"/>
    </row>
    <row r="844" spans="47:47" ht="13.8" x14ac:dyDescent="0.3">
      <c r="AU844" s="84"/>
    </row>
    <row r="845" spans="47:47" ht="13.8" x14ac:dyDescent="0.3">
      <c r="AU845" s="84"/>
    </row>
    <row r="846" spans="47:47" ht="13.8" x14ac:dyDescent="0.3">
      <c r="AU846" s="84"/>
    </row>
    <row r="847" spans="47:47" ht="13.8" x14ac:dyDescent="0.3">
      <c r="AU847" s="84"/>
    </row>
    <row r="848" spans="47:47" ht="13.8" x14ac:dyDescent="0.3">
      <c r="AU848" s="84"/>
    </row>
    <row r="849" spans="47:47" ht="13.8" x14ac:dyDescent="0.3">
      <c r="AU849" s="84"/>
    </row>
    <row r="850" spans="47:47" ht="13.8" x14ac:dyDescent="0.3">
      <c r="AU850" s="84"/>
    </row>
    <row r="851" spans="47:47" ht="13.8" x14ac:dyDescent="0.3">
      <c r="AU851" s="84"/>
    </row>
    <row r="852" spans="47:47" ht="13.8" x14ac:dyDescent="0.3">
      <c r="AU852" s="84"/>
    </row>
    <row r="853" spans="47:47" ht="13.8" x14ac:dyDescent="0.3">
      <c r="AU853" s="84"/>
    </row>
    <row r="854" spans="47:47" ht="13.8" x14ac:dyDescent="0.3">
      <c r="AU854" s="84"/>
    </row>
    <row r="855" spans="47:47" ht="13.8" x14ac:dyDescent="0.3">
      <c r="AU855" s="84"/>
    </row>
    <row r="856" spans="47:47" ht="13.8" x14ac:dyDescent="0.3">
      <c r="AU856" s="84"/>
    </row>
    <row r="857" spans="47:47" ht="13.8" x14ac:dyDescent="0.3">
      <c r="AU857" s="84"/>
    </row>
    <row r="858" spans="47:47" ht="13.8" x14ac:dyDescent="0.3">
      <c r="AU858" s="84"/>
    </row>
    <row r="859" spans="47:47" ht="13.8" x14ac:dyDescent="0.3">
      <c r="AU859" s="84"/>
    </row>
    <row r="860" spans="47:47" ht="13.8" x14ac:dyDescent="0.3">
      <c r="AU860" s="84"/>
    </row>
    <row r="861" spans="47:47" ht="13.8" x14ac:dyDescent="0.3">
      <c r="AU861" s="84"/>
    </row>
    <row r="862" spans="47:47" ht="13.8" x14ac:dyDescent="0.3">
      <c r="AU862" s="84"/>
    </row>
    <row r="863" spans="47:47" ht="13.8" x14ac:dyDescent="0.3">
      <c r="AU863" s="84"/>
    </row>
    <row r="864" spans="47:47" ht="13.8" x14ac:dyDescent="0.3">
      <c r="AU864" s="84"/>
    </row>
    <row r="865" spans="47:47" ht="13.8" x14ac:dyDescent="0.3">
      <c r="AU865" s="84"/>
    </row>
    <row r="866" spans="47:47" ht="13.8" x14ac:dyDescent="0.3">
      <c r="AU866" s="84"/>
    </row>
    <row r="867" spans="47:47" ht="13.8" x14ac:dyDescent="0.3">
      <c r="AU867" s="84"/>
    </row>
    <row r="868" spans="47:47" ht="13.8" x14ac:dyDescent="0.3">
      <c r="AU868" s="84"/>
    </row>
    <row r="869" spans="47:47" ht="13.8" x14ac:dyDescent="0.3">
      <c r="AU869" s="84"/>
    </row>
    <row r="870" spans="47:47" ht="13.8" x14ac:dyDescent="0.3">
      <c r="AU870" s="84"/>
    </row>
    <row r="871" spans="47:47" ht="13.8" x14ac:dyDescent="0.3">
      <c r="AU871" s="84"/>
    </row>
    <row r="872" spans="47:47" ht="13.8" x14ac:dyDescent="0.3">
      <c r="AU872" s="84"/>
    </row>
    <row r="873" spans="47:47" ht="13.8" x14ac:dyDescent="0.3">
      <c r="AU873" s="84"/>
    </row>
    <row r="874" spans="47:47" ht="13.8" x14ac:dyDescent="0.3">
      <c r="AU874" s="84"/>
    </row>
    <row r="875" spans="47:47" ht="13.8" x14ac:dyDescent="0.3">
      <c r="AU875" s="84"/>
    </row>
    <row r="876" spans="47:47" ht="13.8" x14ac:dyDescent="0.3">
      <c r="AU876" s="84"/>
    </row>
    <row r="877" spans="47:47" ht="13.8" x14ac:dyDescent="0.3">
      <c r="AU877" s="84"/>
    </row>
    <row r="878" spans="47:47" ht="13.8" x14ac:dyDescent="0.3">
      <c r="AU878" s="84"/>
    </row>
    <row r="879" spans="47:47" ht="13.8" x14ac:dyDescent="0.3">
      <c r="AU879" s="84"/>
    </row>
    <row r="880" spans="47:47" ht="13.8" x14ac:dyDescent="0.3">
      <c r="AU880" s="84"/>
    </row>
    <row r="881" spans="47:47" ht="13.8" x14ac:dyDescent="0.3">
      <c r="AU881" s="84"/>
    </row>
    <row r="882" spans="47:47" ht="13.8" x14ac:dyDescent="0.3">
      <c r="AU882" s="84"/>
    </row>
    <row r="883" spans="47:47" ht="13.8" x14ac:dyDescent="0.3">
      <c r="AU883" s="84"/>
    </row>
    <row r="884" spans="47:47" ht="13.8" x14ac:dyDescent="0.3">
      <c r="AU884" s="84"/>
    </row>
    <row r="885" spans="47:47" ht="13.8" x14ac:dyDescent="0.3">
      <c r="AU885" s="84"/>
    </row>
    <row r="886" spans="47:47" ht="13.8" x14ac:dyDescent="0.3">
      <c r="AU886" s="84"/>
    </row>
    <row r="887" spans="47:47" ht="13.8" x14ac:dyDescent="0.3">
      <c r="AU887" s="84"/>
    </row>
    <row r="888" spans="47:47" ht="13.8" x14ac:dyDescent="0.3">
      <c r="AU888" s="84"/>
    </row>
    <row r="889" spans="47:47" ht="13.8" x14ac:dyDescent="0.3">
      <c r="AU889" s="84"/>
    </row>
    <row r="890" spans="47:47" ht="13.8" x14ac:dyDescent="0.3">
      <c r="AU890" s="84"/>
    </row>
    <row r="891" spans="47:47" ht="13.8" x14ac:dyDescent="0.3">
      <c r="AU891" s="84"/>
    </row>
    <row r="892" spans="47:47" ht="13.8" x14ac:dyDescent="0.3">
      <c r="AU892" s="84"/>
    </row>
    <row r="893" spans="47:47" ht="13.8" x14ac:dyDescent="0.3">
      <c r="AU893" s="84"/>
    </row>
    <row r="894" spans="47:47" ht="13.8" x14ac:dyDescent="0.3">
      <c r="AU894" s="84"/>
    </row>
    <row r="895" spans="47:47" ht="13.8" x14ac:dyDescent="0.3">
      <c r="AU895" s="84"/>
    </row>
    <row r="896" spans="47:47" ht="13.8" x14ac:dyDescent="0.3">
      <c r="AU896" s="84"/>
    </row>
    <row r="897" spans="47:47" ht="13.8" x14ac:dyDescent="0.3">
      <c r="AU897" s="84"/>
    </row>
    <row r="898" spans="47:47" ht="13.8" x14ac:dyDescent="0.3">
      <c r="AU898" s="84"/>
    </row>
    <row r="899" spans="47:47" ht="13.8" x14ac:dyDescent="0.3">
      <c r="AU899" s="84"/>
    </row>
    <row r="900" spans="47:47" ht="13.8" x14ac:dyDescent="0.3">
      <c r="AU900" s="84"/>
    </row>
    <row r="901" spans="47:47" ht="13.8" x14ac:dyDescent="0.3">
      <c r="AU901" s="84"/>
    </row>
    <row r="902" spans="47:47" ht="13.8" x14ac:dyDescent="0.3">
      <c r="AU902" s="84"/>
    </row>
    <row r="903" spans="47:47" ht="13.8" x14ac:dyDescent="0.3">
      <c r="AU903" s="84"/>
    </row>
    <row r="904" spans="47:47" ht="13.8" x14ac:dyDescent="0.3">
      <c r="AU904" s="84"/>
    </row>
    <row r="905" spans="47:47" ht="13.8" x14ac:dyDescent="0.3">
      <c r="AU905" s="84"/>
    </row>
    <row r="906" spans="47:47" ht="13.8" x14ac:dyDescent="0.3">
      <c r="AU906" s="84"/>
    </row>
    <row r="907" spans="47:47" ht="13.8" x14ac:dyDescent="0.3">
      <c r="AU907" s="84"/>
    </row>
    <row r="908" spans="47:47" ht="13.8" x14ac:dyDescent="0.3">
      <c r="AU908" s="84"/>
    </row>
    <row r="909" spans="47:47" ht="13.8" x14ac:dyDescent="0.3">
      <c r="AU909" s="84"/>
    </row>
    <row r="910" spans="47:47" ht="13.8" x14ac:dyDescent="0.3">
      <c r="AU910" s="84"/>
    </row>
    <row r="911" spans="47:47" ht="13.8" x14ac:dyDescent="0.3">
      <c r="AU911" s="84"/>
    </row>
    <row r="912" spans="47:47" ht="13.8" x14ac:dyDescent="0.3">
      <c r="AU912" s="84"/>
    </row>
    <row r="913" spans="47:47" ht="13.8" x14ac:dyDescent="0.3">
      <c r="AU913" s="84"/>
    </row>
    <row r="914" spans="47:47" ht="13.8" x14ac:dyDescent="0.3">
      <c r="AU914" s="84"/>
    </row>
    <row r="915" spans="47:47" ht="13.8" x14ac:dyDescent="0.3">
      <c r="AU915" s="84"/>
    </row>
    <row r="916" spans="47:47" ht="13.8" x14ac:dyDescent="0.3">
      <c r="AU916" s="84"/>
    </row>
    <row r="917" spans="47:47" ht="13.8" x14ac:dyDescent="0.3">
      <c r="AU917" s="84"/>
    </row>
    <row r="918" spans="47:47" ht="13.8" x14ac:dyDescent="0.3">
      <c r="AU918" s="84"/>
    </row>
    <row r="919" spans="47:47" ht="13.8" x14ac:dyDescent="0.3">
      <c r="AU919" s="84"/>
    </row>
    <row r="920" spans="47:47" ht="13.8" x14ac:dyDescent="0.3">
      <c r="AU920" s="84"/>
    </row>
    <row r="921" spans="47:47" ht="13.8" x14ac:dyDescent="0.3">
      <c r="AU921" s="84"/>
    </row>
    <row r="922" spans="47:47" ht="13.8" x14ac:dyDescent="0.3">
      <c r="AU922" s="84"/>
    </row>
    <row r="923" spans="47:47" ht="13.8" x14ac:dyDescent="0.3">
      <c r="AU923" s="84"/>
    </row>
    <row r="924" spans="47:47" ht="13.8" x14ac:dyDescent="0.3">
      <c r="AU924" s="84"/>
    </row>
    <row r="925" spans="47:47" ht="13.8" x14ac:dyDescent="0.3">
      <c r="AU925" s="84"/>
    </row>
    <row r="926" spans="47:47" ht="13.8" x14ac:dyDescent="0.3">
      <c r="AU926" s="84"/>
    </row>
    <row r="927" spans="47:47" ht="13.8" x14ac:dyDescent="0.3">
      <c r="AU927" s="84"/>
    </row>
    <row r="928" spans="47:47" ht="13.8" x14ac:dyDescent="0.3">
      <c r="AU928" s="84"/>
    </row>
    <row r="929" spans="47:47" ht="13.8" x14ac:dyDescent="0.3">
      <c r="AU929" s="84"/>
    </row>
    <row r="930" spans="47:47" ht="13.8" x14ac:dyDescent="0.3">
      <c r="AU930" s="84"/>
    </row>
    <row r="931" spans="47:47" ht="13.8" x14ac:dyDescent="0.3">
      <c r="AU931" s="84"/>
    </row>
    <row r="932" spans="47:47" ht="13.8" x14ac:dyDescent="0.3">
      <c r="AU932" s="84"/>
    </row>
    <row r="933" spans="47:47" ht="13.8" x14ac:dyDescent="0.3">
      <c r="AU933" s="84"/>
    </row>
    <row r="934" spans="47:47" ht="13.8" x14ac:dyDescent="0.3">
      <c r="AU934" s="84"/>
    </row>
    <row r="935" spans="47:47" ht="13.8" x14ac:dyDescent="0.3">
      <c r="AU935" s="84"/>
    </row>
    <row r="936" spans="47:47" ht="13.8" x14ac:dyDescent="0.3">
      <c r="AU936" s="84"/>
    </row>
    <row r="937" spans="47:47" ht="13.8" x14ac:dyDescent="0.3">
      <c r="AU937" s="84"/>
    </row>
    <row r="938" spans="47:47" ht="13.8" x14ac:dyDescent="0.3">
      <c r="AU938" s="84"/>
    </row>
    <row r="939" spans="47:47" ht="13.8" x14ac:dyDescent="0.3">
      <c r="AU939" s="84"/>
    </row>
    <row r="940" spans="47:47" ht="13.8" x14ac:dyDescent="0.3">
      <c r="AU940" s="84"/>
    </row>
    <row r="941" spans="47:47" ht="13.8" x14ac:dyDescent="0.3">
      <c r="AU941" s="84"/>
    </row>
    <row r="942" spans="47:47" ht="13.8" x14ac:dyDescent="0.3">
      <c r="AU942" s="84"/>
    </row>
    <row r="943" spans="47:47" ht="13.8" x14ac:dyDescent="0.3">
      <c r="AU943" s="84"/>
    </row>
    <row r="944" spans="47:47" ht="13.8" x14ac:dyDescent="0.3">
      <c r="AU944" s="84"/>
    </row>
    <row r="945" spans="47:47" ht="13.8" x14ac:dyDescent="0.3">
      <c r="AU945" s="84"/>
    </row>
    <row r="946" spans="47:47" ht="13.8" x14ac:dyDescent="0.3">
      <c r="AU946" s="84"/>
    </row>
    <row r="947" spans="47:47" ht="13.8" x14ac:dyDescent="0.3">
      <c r="AU947" s="84"/>
    </row>
    <row r="948" spans="47:47" ht="13.8" x14ac:dyDescent="0.3">
      <c r="AU948" s="84"/>
    </row>
    <row r="949" spans="47:47" ht="13.8" x14ac:dyDescent="0.3">
      <c r="AU949" s="84"/>
    </row>
    <row r="950" spans="47:47" ht="13.8" x14ac:dyDescent="0.3">
      <c r="AU950" s="84"/>
    </row>
    <row r="951" spans="47:47" ht="13.8" x14ac:dyDescent="0.3">
      <c r="AU951" s="84"/>
    </row>
    <row r="952" spans="47:47" ht="13.8" x14ac:dyDescent="0.3">
      <c r="AU952" s="84"/>
    </row>
    <row r="953" spans="47:47" ht="13.8" x14ac:dyDescent="0.3">
      <c r="AU953" s="84"/>
    </row>
    <row r="954" spans="47:47" ht="13.8" x14ac:dyDescent="0.3">
      <c r="AU954" s="84"/>
    </row>
    <row r="955" spans="47:47" ht="13.8" x14ac:dyDescent="0.3">
      <c r="AU955" s="84"/>
    </row>
    <row r="956" spans="47:47" ht="13.8" x14ac:dyDescent="0.3">
      <c r="AU956" s="84"/>
    </row>
    <row r="957" spans="47:47" ht="13.8" x14ac:dyDescent="0.3">
      <c r="AU957" s="84"/>
    </row>
    <row r="958" spans="47:47" ht="13.8" x14ac:dyDescent="0.3">
      <c r="AU958" s="84"/>
    </row>
    <row r="959" spans="47:47" ht="13.8" x14ac:dyDescent="0.3">
      <c r="AU959" s="84"/>
    </row>
    <row r="960" spans="47:47" ht="13.8" x14ac:dyDescent="0.3">
      <c r="AU960" s="84"/>
    </row>
    <row r="961" spans="47:47" ht="13.8" x14ac:dyDescent="0.3">
      <c r="AU961" s="84"/>
    </row>
    <row r="962" spans="47:47" ht="13.8" x14ac:dyDescent="0.3">
      <c r="AU962" s="84"/>
    </row>
    <row r="963" spans="47:47" ht="13.8" x14ac:dyDescent="0.3">
      <c r="AU963" s="84"/>
    </row>
    <row r="964" spans="47:47" ht="13.8" x14ac:dyDescent="0.3">
      <c r="AU964" s="84"/>
    </row>
    <row r="965" spans="47:47" ht="13.8" x14ac:dyDescent="0.3">
      <c r="AU965" s="84"/>
    </row>
    <row r="966" spans="47:47" ht="13.8" x14ac:dyDescent="0.3">
      <c r="AU966" s="84"/>
    </row>
    <row r="967" spans="47:47" ht="13.8" x14ac:dyDescent="0.3">
      <c r="AU967" s="84"/>
    </row>
    <row r="968" spans="47:47" ht="13.8" x14ac:dyDescent="0.3">
      <c r="AU968" s="84"/>
    </row>
    <row r="969" spans="47:47" ht="13.8" x14ac:dyDescent="0.3">
      <c r="AU969" s="84"/>
    </row>
    <row r="970" spans="47:47" ht="13.8" x14ac:dyDescent="0.3">
      <c r="AU970" s="84"/>
    </row>
    <row r="971" spans="47:47" ht="13.8" x14ac:dyDescent="0.3">
      <c r="AU971" s="84"/>
    </row>
    <row r="972" spans="47:47" ht="13.8" x14ac:dyDescent="0.3">
      <c r="AU972" s="84"/>
    </row>
    <row r="973" spans="47:47" ht="13.8" x14ac:dyDescent="0.3">
      <c r="AU973" s="84"/>
    </row>
    <row r="974" spans="47:47" ht="13.8" x14ac:dyDescent="0.3">
      <c r="AU974" s="84"/>
    </row>
    <row r="975" spans="47:47" ht="13.8" x14ac:dyDescent="0.3">
      <c r="AU975" s="84"/>
    </row>
    <row r="976" spans="47:47" ht="13.8" x14ac:dyDescent="0.3">
      <c r="AU976" s="84"/>
    </row>
    <row r="977" spans="47:47" ht="13.8" x14ac:dyDescent="0.3">
      <c r="AU977" s="84"/>
    </row>
    <row r="978" spans="47:47" ht="13.8" x14ac:dyDescent="0.3">
      <c r="AU978" s="84"/>
    </row>
    <row r="979" spans="47:47" ht="13.8" x14ac:dyDescent="0.3">
      <c r="AU979" s="84"/>
    </row>
    <row r="980" spans="47:47" ht="13.8" x14ac:dyDescent="0.3">
      <c r="AU980" s="84"/>
    </row>
    <row r="981" spans="47:47" ht="13.8" x14ac:dyDescent="0.3">
      <c r="AU981" s="84"/>
    </row>
    <row r="982" spans="47:47" ht="13.8" x14ac:dyDescent="0.3">
      <c r="AU982" s="84"/>
    </row>
    <row r="983" spans="47:47" ht="13.8" x14ac:dyDescent="0.3">
      <c r="AU983" s="84"/>
    </row>
    <row r="984" spans="47:47" ht="13.8" x14ac:dyDescent="0.3">
      <c r="AU984" s="84"/>
    </row>
    <row r="985" spans="47:47" ht="13.8" x14ac:dyDescent="0.3">
      <c r="AU985" s="84"/>
    </row>
    <row r="986" spans="47:47" ht="13.8" x14ac:dyDescent="0.3">
      <c r="AU986" s="84"/>
    </row>
    <row r="987" spans="47:47" ht="13.8" x14ac:dyDescent="0.3">
      <c r="AU987" s="84"/>
    </row>
    <row r="988" spans="47:47" ht="13.8" x14ac:dyDescent="0.3">
      <c r="AU988" s="84"/>
    </row>
    <row r="989" spans="47:47" ht="13.8" x14ac:dyDescent="0.3">
      <c r="AU989" s="84"/>
    </row>
    <row r="990" spans="47:47" ht="13.8" x14ac:dyDescent="0.3">
      <c r="AU990" s="84"/>
    </row>
    <row r="991" spans="47:47" ht="13.8" x14ac:dyDescent="0.3">
      <c r="AU991" s="84"/>
    </row>
    <row r="992" spans="47:47" ht="13.8" x14ac:dyDescent="0.3">
      <c r="AU992" s="84"/>
    </row>
    <row r="993" spans="47:47" ht="13.8" x14ac:dyDescent="0.3">
      <c r="AU993" s="84"/>
    </row>
    <row r="994" spans="47:47" ht="13.8" x14ac:dyDescent="0.3">
      <c r="AU994" s="84"/>
    </row>
    <row r="995" spans="47:47" ht="13.8" x14ac:dyDescent="0.3">
      <c r="AU995" s="84"/>
    </row>
    <row r="996" spans="47:47" ht="13.8" x14ac:dyDescent="0.3">
      <c r="AU996" s="84"/>
    </row>
    <row r="997" spans="47:47" ht="13.8" x14ac:dyDescent="0.3">
      <c r="AU997" s="84"/>
    </row>
    <row r="998" spans="47:47" ht="13.8" x14ac:dyDescent="0.3">
      <c r="AU998" s="84"/>
    </row>
    <row r="999" spans="47:47" ht="13.8" x14ac:dyDescent="0.3">
      <c r="AU999" s="84"/>
    </row>
    <row r="1000" spans="47:47" ht="13.8" x14ac:dyDescent="0.3">
      <c r="AU1000" s="84"/>
    </row>
  </sheetData>
  <hyperlinks>
    <hyperlink ref="AL2" r:id="rId1" xr:uid="{00000000-0004-0000-0100-000000000000}"/>
    <hyperlink ref="AQ2" r:id="rId2" xr:uid="{00000000-0004-0000-0100-000001000000}"/>
    <hyperlink ref="AL6" r:id="rId3" xr:uid="{00000000-0004-0000-0100-000002000000}"/>
    <hyperlink ref="I12" r:id="rId4" xr:uid="{00000000-0004-0000-0100-000003000000}"/>
    <hyperlink ref="AL14" r:id="rId5" xr:uid="{00000000-0004-0000-0100-000004000000}"/>
    <hyperlink ref="AM14" r:id="rId6" xr:uid="{00000000-0004-0000-0100-000005000000}"/>
    <hyperlink ref="AL15" r:id="rId7" xr:uid="{00000000-0004-0000-0100-000006000000}"/>
    <hyperlink ref="AL16" r:id="rId8"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Y999"/>
  <sheetViews>
    <sheetView tabSelected="1" topLeftCell="AQ1" workbookViewId="0">
      <selection activeCell="AV6" sqref="AV6"/>
    </sheetView>
  </sheetViews>
  <sheetFormatPr defaultColWidth="12.6640625" defaultRowHeight="15.75" customHeight="1" x14ac:dyDescent="0.25"/>
  <cols>
    <col min="1" max="1" width="13.44140625" customWidth="1"/>
    <col min="2" max="2" width="17.21875" customWidth="1"/>
    <col min="3" max="3" width="21.88671875" customWidth="1"/>
    <col min="4" max="4" width="27.21875" customWidth="1"/>
    <col min="5" max="5" width="23.6640625" customWidth="1"/>
    <col min="6" max="6" width="14.44140625" customWidth="1"/>
    <col min="7" max="8" width="13.44140625" customWidth="1"/>
    <col min="9" max="9" width="31.44140625" customWidth="1"/>
    <col min="10" max="10" width="13.44140625" customWidth="1"/>
    <col min="11" max="11" width="59.6640625" customWidth="1"/>
    <col min="12" max="26" width="13.44140625" customWidth="1"/>
    <col min="27" max="27" width="23.6640625" customWidth="1"/>
    <col min="28" max="28" width="80.6640625" customWidth="1"/>
    <col min="29" max="43" width="13.44140625" customWidth="1"/>
    <col min="44" max="44" width="15.44140625" customWidth="1"/>
    <col min="45" max="45" width="48" customWidth="1"/>
    <col min="46" max="46" width="18.88671875" customWidth="1"/>
    <col min="47" max="47" width="19.21875" customWidth="1"/>
  </cols>
  <sheetData>
    <row r="1" spans="1:51" ht="13.8" x14ac:dyDescent="0.3">
      <c r="A1" s="1" t="s">
        <v>0</v>
      </c>
      <c r="B1" s="4" t="s">
        <v>1</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10" t="s">
        <v>34</v>
      </c>
      <c r="AI1" s="4" t="s">
        <v>35</v>
      </c>
      <c r="AJ1" s="4" t="s">
        <v>36</v>
      </c>
      <c r="AK1" s="12" t="s">
        <v>38</v>
      </c>
      <c r="AL1" s="12" t="s">
        <v>39</v>
      </c>
      <c r="AM1" s="12" t="s">
        <v>41</v>
      </c>
      <c r="AN1" s="12" t="s">
        <v>42</v>
      </c>
      <c r="AO1" s="12" t="s">
        <v>44</v>
      </c>
      <c r="AP1" s="12" t="s">
        <v>45</v>
      </c>
      <c r="AQ1" s="12" t="s">
        <v>46</v>
      </c>
      <c r="AR1" s="4" t="s">
        <v>47</v>
      </c>
      <c r="AS1" s="4" t="s">
        <v>48</v>
      </c>
      <c r="AT1" s="4" t="s">
        <v>51</v>
      </c>
      <c r="AU1" s="4" t="s">
        <v>52</v>
      </c>
      <c r="AV1" s="4" t="s">
        <v>53</v>
      </c>
      <c r="AW1" s="4"/>
      <c r="AX1" s="4"/>
      <c r="AY1" s="4"/>
    </row>
    <row r="2" spans="1:51" ht="15.75" customHeight="1" x14ac:dyDescent="0.3">
      <c r="A2" s="16"/>
      <c r="B2" s="18" t="s">
        <v>56</v>
      </c>
      <c r="C2" s="22">
        <v>46220</v>
      </c>
      <c r="D2" s="18" t="s">
        <v>58</v>
      </c>
      <c r="E2" s="18" t="s">
        <v>61</v>
      </c>
      <c r="F2" s="23" t="s">
        <v>62</v>
      </c>
      <c r="G2" s="18" t="s">
        <v>64</v>
      </c>
      <c r="H2" s="22" t="s">
        <v>65</v>
      </c>
      <c r="I2" s="18" t="s">
        <v>67</v>
      </c>
      <c r="J2" s="23" t="s">
        <v>68</v>
      </c>
      <c r="K2" s="18" t="s">
        <v>69</v>
      </c>
      <c r="L2" s="18" t="s">
        <v>70</v>
      </c>
      <c r="M2" s="18" t="s">
        <v>72</v>
      </c>
      <c r="N2" s="18" t="s">
        <v>73</v>
      </c>
      <c r="O2" s="18" t="s">
        <v>74</v>
      </c>
      <c r="P2" s="19">
        <v>0</v>
      </c>
      <c r="Q2" s="23" t="s">
        <v>77</v>
      </c>
      <c r="R2" s="18" t="s">
        <v>80</v>
      </c>
      <c r="S2" s="24" t="s">
        <v>86</v>
      </c>
      <c r="T2" s="18" t="s">
        <v>90</v>
      </c>
      <c r="U2" s="18" t="s">
        <v>91</v>
      </c>
      <c r="V2" s="18" t="s">
        <v>93</v>
      </c>
      <c r="W2" s="19">
        <v>0</v>
      </c>
      <c r="X2" s="18">
        <v>0</v>
      </c>
      <c r="Y2" s="18" t="s">
        <v>97</v>
      </c>
      <c r="Z2" s="19">
        <v>463375981</v>
      </c>
      <c r="AA2" s="18" t="s">
        <v>61</v>
      </c>
      <c r="AB2" s="18" t="s">
        <v>101</v>
      </c>
      <c r="AC2" s="18" t="s">
        <v>64</v>
      </c>
      <c r="AD2" s="18" t="s">
        <v>105</v>
      </c>
      <c r="AE2" s="26" t="s">
        <v>110</v>
      </c>
      <c r="AF2" s="27"/>
      <c r="AG2" s="29"/>
      <c r="AH2" s="30"/>
      <c r="AI2" s="32">
        <v>0</v>
      </c>
      <c r="AJ2" s="32">
        <v>0</v>
      </c>
      <c r="AK2" s="34" t="s">
        <v>120</v>
      </c>
      <c r="AL2" s="34" t="s">
        <v>125</v>
      </c>
      <c r="AM2" s="34" t="s">
        <v>120</v>
      </c>
      <c r="AN2" s="34" t="s">
        <v>128</v>
      </c>
      <c r="AO2" s="34" t="s">
        <v>130</v>
      </c>
      <c r="AP2" s="34" t="s">
        <v>131</v>
      </c>
      <c r="AQ2" s="34" t="s">
        <v>132</v>
      </c>
      <c r="AR2" s="16"/>
      <c r="AS2" s="16"/>
      <c r="AT2" s="16"/>
      <c r="AU2" s="16"/>
      <c r="AV2" t="s">
        <v>227</v>
      </c>
    </row>
    <row r="3" spans="1:51" ht="15.75" customHeight="1" x14ac:dyDescent="0.3">
      <c r="A3" s="26">
        <v>21050</v>
      </c>
      <c r="B3" s="18" t="s">
        <v>56</v>
      </c>
      <c r="C3" s="18" t="s">
        <v>133</v>
      </c>
      <c r="D3" s="18" t="s">
        <v>58</v>
      </c>
      <c r="E3" s="18" t="s">
        <v>134</v>
      </c>
      <c r="F3" s="25" t="s">
        <v>135</v>
      </c>
      <c r="G3" s="18" t="s">
        <v>136</v>
      </c>
      <c r="H3" s="22" t="s">
        <v>137</v>
      </c>
      <c r="I3" s="18" t="s">
        <v>138</v>
      </c>
      <c r="J3" s="25" t="s">
        <v>139</v>
      </c>
      <c r="K3" s="18" t="s">
        <v>140</v>
      </c>
      <c r="L3" s="18" t="s">
        <v>141</v>
      </c>
      <c r="M3" s="18" t="s">
        <v>72</v>
      </c>
      <c r="N3" s="18" t="s">
        <v>142</v>
      </c>
      <c r="O3" s="18" t="s">
        <v>74</v>
      </c>
      <c r="P3" s="19">
        <v>0</v>
      </c>
      <c r="Q3" s="25" t="s">
        <v>143</v>
      </c>
      <c r="R3" s="18" t="s">
        <v>144</v>
      </c>
      <c r="S3" s="18" t="s">
        <v>145</v>
      </c>
      <c r="T3" s="18" t="s">
        <v>90</v>
      </c>
      <c r="U3" s="18" t="s">
        <v>146</v>
      </c>
      <c r="V3" s="18" t="s">
        <v>93</v>
      </c>
      <c r="W3" s="19">
        <v>0</v>
      </c>
      <c r="X3" s="18">
        <v>0</v>
      </c>
      <c r="Y3" s="18" t="s">
        <v>147</v>
      </c>
      <c r="Z3" s="25" t="s">
        <v>139</v>
      </c>
      <c r="AA3" s="18" t="s">
        <v>148</v>
      </c>
      <c r="AB3" s="18" t="s">
        <v>149</v>
      </c>
      <c r="AC3" s="18" t="s">
        <v>150</v>
      </c>
      <c r="AD3" s="18" t="s">
        <v>105</v>
      </c>
      <c r="AE3" s="26" t="s">
        <v>110</v>
      </c>
      <c r="AF3" s="28"/>
      <c r="AG3" s="29"/>
      <c r="AH3" s="29"/>
      <c r="AI3" s="18">
        <v>0</v>
      </c>
      <c r="AJ3" s="19">
        <v>0</v>
      </c>
      <c r="AK3" s="35" t="s">
        <v>151</v>
      </c>
      <c r="AL3" s="35" t="s">
        <v>152</v>
      </c>
      <c r="AM3" s="35" t="s">
        <v>151</v>
      </c>
      <c r="AN3" s="35" t="s">
        <v>153</v>
      </c>
      <c r="AO3" s="35" t="s">
        <v>154</v>
      </c>
      <c r="AP3" s="35" t="s">
        <v>155</v>
      </c>
      <c r="AQ3" s="35" t="s">
        <v>156</v>
      </c>
      <c r="AR3" s="30" t="s">
        <v>146</v>
      </c>
      <c r="AS3" s="16" t="s">
        <v>157</v>
      </c>
      <c r="AT3" s="37" t="s">
        <v>158</v>
      </c>
      <c r="AU3" s="16" t="s">
        <v>164</v>
      </c>
      <c r="AV3" t="s">
        <v>227</v>
      </c>
    </row>
    <row r="4" spans="1:51" ht="15.75" customHeight="1" x14ac:dyDescent="0.3">
      <c r="A4" s="26">
        <v>21051</v>
      </c>
      <c r="B4" s="26" t="s">
        <v>56</v>
      </c>
      <c r="C4" s="26" t="s">
        <v>165</v>
      </c>
      <c r="D4" s="18" t="s">
        <v>58</v>
      </c>
      <c r="E4" s="26" t="s">
        <v>167</v>
      </c>
      <c r="F4" s="26" t="s">
        <v>169</v>
      </c>
      <c r="G4" s="26" t="s">
        <v>171</v>
      </c>
      <c r="H4" s="26" t="s">
        <v>172</v>
      </c>
      <c r="I4" s="26" t="s">
        <v>173</v>
      </c>
      <c r="J4" s="26" t="s">
        <v>175</v>
      </c>
      <c r="K4" s="26" t="s">
        <v>177</v>
      </c>
      <c r="L4" s="26" t="s">
        <v>179</v>
      </c>
      <c r="M4" s="26" t="s">
        <v>72</v>
      </c>
      <c r="N4" s="26" t="s">
        <v>180</v>
      </c>
      <c r="O4" s="26" t="s">
        <v>182</v>
      </c>
      <c r="P4" s="26" t="s">
        <v>169</v>
      </c>
      <c r="Q4" s="26" t="s">
        <v>183</v>
      </c>
      <c r="R4" s="26" t="s">
        <v>186</v>
      </c>
      <c r="S4" s="26" t="s">
        <v>188</v>
      </c>
      <c r="T4" s="26" t="s">
        <v>90</v>
      </c>
      <c r="U4" s="26" t="s">
        <v>146</v>
      </c>
      <c r="V4" s="26" t="s">
        <v>93</v>
      </c>
      <c r="W4" s="26">
        <v>0</v>
      </c>
      <c r="X4" s="26">
        <v>0</v>
      </c>
      <c r="Y4" s="26" t="s">
        <v>97</v>
      </c>
      <c r="Z4" s="26" t="s">
        <v>192</v>
      </c>
      <c r="AA4" s="26" t="s">
        <v>167</v>
      </c>
      <c r="AB4" s="26" t="s">
        <v>193</v>
      </c>
      <c r="AC4" s="26" t="s">
        <v>171</v>
      </c>
      <c r="AD4" s="26" t="s">
        <v>105</v>
      </c>
      <c r="AE4" s="26" t="s">
        <v>110</v>
      </c>
      <c r="AF4" s="26"/>
      <c r="AG4" s="26"/>
      <c r="AH4" s="26"/>
      <c r="AI4" s="26">
        <v>0</v>
      </c>
      <c r="AJ4" s="26">
        <v>0</v>
      </c>
      <c r="AK4" s="40" t="s">
        <v>197</v>
      </c>
      <c r="AL4" s="40" t="s">
        <v>199</v>
      </c>
      <c r="AM4" s="40" t="s">
        <v>197</v>
      </c>
      <c r="AN4" s="40" t="s">
        <v>203</v>
      </c>
      <c r="AO4" s="40" t="s">
        <v>206</v>
      </c>
      <c r="AP4" s="40" t="s">
        <v>208</v>
      </c>
      <c r="AQ4" s="40" t="s">
        <v>210</v>
      </c>
      <c r="AR4" s="26" t="s">
        <v>213</v>
      </c>
      <c r="AS4" s="16" t="s">
        <v>215</v>
      </c>
      <c r="AT4" s="37" t="s">
        <v>217</v>
      </c>
      <c r="AU4" s="16" t="s">
        <v>164</v>
      </c>
      <c r="AV4" t="s">
        <v>227</v>
      </c>
    </row>
    <row r="5" spans="1:51" ht="15.75" customHeight="1" x14ac:dyDescent="0.3">
      <c r="A5" s="26">
        <v>21093</v>
      </c>
      <c r="B5" s="26" t="s">
        <v>57</v>
      </c>
      <c r="C5" s="26" t="s">
        <v>220</v>
      </c>
      <c r="D5" s="18" t="s">
        <v>58</v>
      </c>
      <c r="E5" s="26" t="s">
        <v>221</v>
      </c>
      <c r="F5" s="26" t="s">
        <v>223</v>
      </c>
      <c r="G5" s="26" t="s">
        <v>225</v>
      </c>
      <c r="H5" s="41">
        <v>38383</v>
      </c>
      <c r="I5" s="26" t="s">
        <v>231</v>
      </c>
      <c r="J5" s="26">
        <v>85797801462</v>
      </c>
      <c r="K5" s="26" t="s">
        <v>233</v>
      </c>
      <c r="L5" s="26" t="s">
        <v>234</v>
      </c>
      <c r="M5" s="26" t="s">
        <v>72</v>
      </c>
      <c r="N5" s="26" t="s">
        <v>236</v>
      </c>
      <c r="O5" s="26" t="s">
        <v>237</v>
      </c>
      <c r="P5" s="26"/>
      <c r="Q5" s="26" t="s">
        <v>238</v>
      </c>
      <c r="R5" s="26" t="s">
        <v>240</v>
      </c>
      <c r="S5" s="26" t="s">
        <v>226</v>
      </c>
      <c r="T5" s="26"/>
      <c r="U5" s="26" t="s">
        <v>225</v>
      </c>
      <c r="V5" s="26" t="s">
        <v>110</v>
      </c>
      <c r="W5" s="26"/>
      <c r="X5" s="26"/>
      <c r="Y5" s="26" t="s">
        <v>97</v>
      </c>
      <c r="Z5" s="26">
        <v>4461254734</v>
      </c>
      <c r="AA5" s="26" t="s">
        <v>221</v>
      </c>
      <c r="AB5" s="26" t="s">
        <v>244</v>
      </c>
      <c r="AC5" s="26" t="s">
        <v>247</v>
      </c>
      <c r="AD5" s="26" t="s">
        <v>105</v>
      </c>
      <c r="AE5" s="26" t="s">
        <v>110</v>
      </c>
      <c r="AF5" s="26" t="s">
        <v>240</v>
      </c>
      <c r="AG5" s="26" t="s">
        <v>249</v>
      </c>
      <c r="AH5" s="26">
        <v>81313970446</v>
      </c>
      <c r="AI5" s="26"/>
      <c r="AJ5" s="26"/>
      <c r="AK5" s="45" t="s">
        <v>250</v>
      </c>
      <c r="AL5" s="45" t="s">
        <v>284</v>
      </c>
      <c r="AM5" s="45" t="s">
        <v>304</v>
      </c>
      <c r="AN5" s="40"/>
      <c r="AO5" s="40"/>
      <c r="AP5" s="40"/>
      <c r="AQ5" s="45" t="s">
        <v>334</v>
      </c>
      <c r="AR5" s="26" t="s">
        <v>286</v>
      </c>
      <c r="AS5" s="16" t="s">
        <v>269</v>
      </c>
      <c r="AT5" s="37" t="s">
        <v>272</v>
      </c>
      <c r="AU5" s="16" t="s">
        <v>164</v>
      </c>
      <c r="AV5" s="18" t="s">
        <v>59</v>
      </c>
    </row>
    <row r="6" spans="1:51" ht="15.75" customHeight="1" x14ac:dyDescent="0.3">
      <c r="A6" s="26">
        <v>21094</v>
      </c>
      <c r="B6" s="26" t="s">
        <v>57</v>
      </c>
      <c r="C6" s="26" t="s">
        <v>367</v>
      </c>
      <c r="D6" s="26" t="s">
        <v>58</v>
      </c>
      <c r="E6" s="26" t="s">
        <v>369</v>
      </c>
      <c r="F6" s="26" t="s">
        <v>370</v>
      </c>
      <c r="G6" s="26" t="s">
        <v>225</v>
      </c>
      <c r="H6" s="26" t="s">
        <v>371</v>
      </c>
      <c r="I6" s="26" t="s">
        <v>374</v>
      </c>
      <c r="J6" s="26">
        <v>87719291634</v>
      </c>
      <c r="K6" s="26" t="s">
        <v>376</v>
      </c>
      <c r="L6" s="26" t="s">
        <v>234</v>
      </c>
      <c r="M6" s="26" t="s">
        <v>72</v>
      </c>
      <c r="N6" s="26" t="s">
        <v>380</v>
      </c>
      <c r="O6" s="26" t="s">
        <v>237</v>
      </c>
      <c r="P6" s="26"/>
      <c r="Q6" s="26" t="s">
        <v>370</v>
      </c>
      <c r="R6" s="26" t="s">
        <v>382</v>
      </c>
      <c r="S6" s="26" t="s">
        <v>384</v>
      </c>
      <c r="T6" s="26"/>
      <c r="U6" s="26" t="s">
        <v>225</v>
      </c>
      <c r="V6" s="26" t="s">
        <v>110</v>
      </c>
      <c r="W6" s="26"/>
      <c r="X6" s="26"/>
      <c r="Y6" s="26" t="s">
        <v>389</v>
      </c>
      <c r="Z6" s="26">
        <v>901079635582</v>
      </c>
      <c r="AA6" s="26" t="s">
        <v>369</v>
      </c>
      <c r="AB6" s="26" t="s">
        <v>393</v>
      </c>
      <c r="AC6" s="26" t="s">
        <v>394</v>
      </c>
      <c r="AD6" s="26" t="s">
        <v>105</v>
      </c>
      <c r="AE6" s="26" t="s">
        <v>110</v>
      </c>
      <c r="AF6" s="26" t="s">
        <v>395</v>
      </c>
      <c r="AG6" s="26" t="s">
        <v>396</v>
      </c>
      <c r="AH6" s="26">
        <v>83857060256</v>
      </c>
      <c r="AI6" s="26"/>
      <c r="AJ6" s="26"/>
      <c r="AK6" s="45" t="s">
        <v>400</v>
      </c>
      <c r="AL6" s="45" t="s">
        <v>444</v>
      </c>
      <c r="AM6" s="45" t="s">
        <v>469</v>
      </c>
      <c r="AN6" s="45" t="s">
        <v>492</v>
      </c>
      <c r="AO6" s="40"/>
      <c r="AP6" s="40"/>
      <c r="AQ6" s="45" t="s">
        <v>517</v>
      </c>
      <c r="AR6" s="26" t="s">
        <v>286</v>
      </c>
      <c r="AS6" s="16" t="s">
        <v>269</v>
      </c>
      <c r="AT6" s="37" t="s">
        <v>272</v>
      </c>
      <c r="AU6" s="16" t="s">
        <v>164</v>
      </c>
      <c r="AV6" s="18" t="s">
        <v>59</v>
      </c>
    </row>
    <row r="7" spans="1:51" ht="13.8" x14ac:dyDescent="0.3">
      <c r="A7" s="26">
        <v>21111</v>
      </c>
      <c r="B7" s="31" t="s">
        <v>56</v>
      </c>
      <c r="C7" s="31" t="s">
        <v>555</v>
      </c>
      <c r="D7" s="31" t="s">
        <v>557</v>
      </c>
      <c r="E7" s="31" t="s">
        <v>559</v>
      </c>
      <c r="F7" s="31" t="s">
        <v>561</v>
      </c>
      <c r="G7" s="31" t="s">
        <v>171</v>
      </c>
      <c r="H7" s="49">
        <v>31419</v>
      </c>
      <c r="I7" s="31" t="s">
        <v>571</v>
      </c>
      <c r="J7" s="31">
        <v>85641732005</v>
      </c>
      <c r="K7" s="31" t="s">
        <v>572</v>
      </c>
      <c r="L7" s="31" t="s">
        <v>179</v>
      </c>
      <c r="M7" s="31" t="s">
        <v>72</v>
      </c>
      <c r="N7" s="31" t="s">
        <v>574</v>
      </c>
      <c r="O7" s="31" t="s">
        <v>237</v>
      </c>
      <c r="P7" s="31">
        <v>14308601000200</v>
      </c>
      <c r="Q7" s="31" t="s">
        <v>580</v>
      </c>
      <c r="R7" s="31" t="s">
        <v>582</v>
      </c>
      <c r="S7" s="31" t="s">
        <v>583</v>
      </c>
      <c r="T7" s="50"/>
      <c r="U7" s="31" t="s">
        <v>171</v>
      </c>
      <c r="V7" s="31" t="s">
        <v>110</v>
      </c>
      <c r="W7" s="50"/>
      <c r="X7" s="50"/>
      <c r="Y7" s="31" t="s">
        <v>439</v>
      </c>
      <c r="Z7" s="31">
        <v>606501015146538</v>
      </c>
      <c r="AA7" s="31" t="s">
        <v>590</v>
      </c>
      <c r="AB7" s="31" t="s">
        <v>591</v>
      </c>
      <c r="AC7" s="31" t="s">
        <v>592</v>
      </c>
      <c r="AD7" s="31" t="s">
        <v>105</v>
      </c>
      <c r="AE7" s="26" t="s">
        <v>110</v>
      </c>
      <c r="AF7" s="31" t="s">
        <v>593</v>
      </c>
      <c r="AG7" s="31" t="s">
        <v>594</v>
      </c>
      <c r="AH7" s="31">
        <v>85642939450</v>
      </c>
      <c r="AI7" s="50"/>
      <c r="AJ7" s="50"/>
      <c r="AK7" s="51" t="s">
        <v>599</v>
      </c>
      <c r="AL7" s="51" t="s">
        <v>629</v>
      </c>
      <c r="AM7" s="51" t="s">
        <v>644</v>
      </c>
      <c r="AN7" s="51" t="s">
        <v>662</v>
      </c>
      <c r="AO7" s="51" t="s">
        <v>679</v>
      </c>
      <c r="AP7" s="51" t="s">
        <v>698</v>
      </c>
      <c r="AQ7" s="56" t="s">
        <v>724</v>
      </c>
      <c r="AR7" s="57" t="s">
        <v>146</v>
      </c>
      <c r="AS7" s="16" t="s">
        <v>753</v>
      </c>
      <c r="AT7" s="58" t="s">
        <v>756</v>
      </c>
      <c r="AU7" s="16" t="s">
        <v>761</v>
      </c>
      <c r="AV7" t="s">
        <v>227</v>
      </c>
    </row>
    <row r="8" spans="1:51" ht="13.2" x14ac:dyDescent="0.25">
      <c r="AK8" s="59"/>
      <c r="AL8" s="59"/>
      <c r="AM8" s="59"/>
      <c r="AN8" s="59"/>
      <c r="AO8" s="59"/>
      <c r="AP8" s="59"/>
      <c r="AQ8" s="59"/>
    </row>
    <row r="9" spans="1:51" ht="13.2" x14ac:dyDescent="0.25">
      <c r="AK9" s="59"/>
      <c r="AL9" s="59"/>
      <c r="AM9" s="59"/>
      <c r="AN9" s="59"/>
      <c r="AO9" s="59"/>
      <c r="AP9" s="59"/>
      <c r="AQ9" s="59"/>
    </row>
    <row r="10" spans="1:51" ht="13.2" x14ac:dyDescent="0.25">
      <c r="AK10" s="59"/>
      <c r="AL10" s="59"/>
      <c r="AM10" s="59"/>
      <c r="AN10" s="59"/>
      <c r="AO10" s="59"/>
      <c r="AP10" s="59"/>
      <c r="AQ10" s="59"/>
    </row>
    <row r="11" spans="1:51" ht="13.2" x14ac:dyDescent="0.25">
      <c r="AK11" s="59"/>
      <c r="AL11" s="59"/>
      <c r="AM11" s="59"/>
      <c r="AN11" s="59"/>
      <c r="AO11" s="59"/>
      <c r="AP11" s="59"/>
      <c r="AQ11" s="59"/>
    </row>
    <row r="12" spans="1:51" ht="13.2" x14ac:dyDescent="0.25">
      <c r="AK12" s="59"/>
      <c r="AL12" s="59"/>
      <c r="AM12" s="59"/>
      <c r="AN12" s="59"/>
      <c r="AO12" s="59"/>
      <c r="AP12" s="59"/>
      <c r="AQ12" s="59"/>
    </row>
    <row r="13" spans="1:51" ht="13.2" x14ac:dyDescent="0.25">
      <c r="AK13" s="59"/>
      <c r="AL13" s="59"/>
      <c r="AM13" s="59"/>
      <c r="AN13" s="59"/>
      <c r="AO13" s="59"/>
      <c r="AP13" s="59"/>
      <c r="AQ13" s="59"/>
    </row>
    <row r="14" spans="1:51" ht="13.2" x14ac:dyDescent="0.25">
      <c r="AK14" s="59"/>
      <c r="AL14" s="59"/>
      <c r="AM14" s="59"/>
      <c r="AN14" s="59"/>
      <c r="AO14" s="59"/>
      <c r="AP14" s="59"/>
      <c r="AQ14" s="59"/>
    </row>
    <row r="15" spans="1:51" ht="13.2" x14ac:dyDescent="0.25">
      <c r="AK15" s="59"/>
      <c r="AL15" s="59"/>
      <c r="AM15" s="59"/>
      <c r="AN15" s="59"/>
      <c r="AO15" s="59"/>
      <c r="AP15" s="59"/>
      <c r="AQ15" s="59"/>
    </row>
    <row r="16" spans="1:51" ht="13.2" x14ac:dyDescent="0.25">
      <c r="AK16" s="59"/>
      <c r="AL16" s="59"/>
      <c r="AM16" s="59"/>
      <c r="AN16" s="59"/>
      <c r="AO16" s="59"/>
      <c r="AP16" s="59"/>
      <c r="AQ16" s="59"/>
    </row>
    <row r="17" spans="37:43" ht="13.2" x14ac:dyDescent="0.25">
      <c r="AK17" s="59"/>
      <c r="AL17" s="59"/>
      <c r="AM17" s="59"/>
      <c r="AN17" s="59"/>
      <c r="AO17" s="59"/>
      <c r="AP17" s="59"/>
      <c r="AQ17" s="59"/>
    </row>
    <row r="18" spans="37:43" ht="13.2" x14ac:dyDescent="0.25">
      <c r="AK18" s="59"/>
      <c r="AL18" s="59"/>
      <c r="AM18" s="59"/>
      <c r="AN18" s="59"/>
      <c r="AO18" s="59"/>
      <c r="AP18" s="59"/>
      <c r="AQ18" s="59"/>
    </row>
    <row r="19" spans="37:43" ht="13.2" x14ac:dyDescent="0.25">
      <c r="AK19" s="59"/>
      <c r="AL19" s="59"/>
      <c r="AM19" s="59"/>
      <c r="AN19" s="59"/>
      <c r="AO19" s="59"/>
      <c r="AP19" s="59"/>
      <c r="AQ19" s="59"/>
    </row>
    <row r="20" spans="37:43" ht="13.2" x14ac:dyDescent="0.25">
      <c r="AK20" s="59"/>
      <c r="AL20" s="59"/>
      <c r="AM20" s="59"/>
      <c r="AN20" s="59"/>
      <c r="AO20" s="59"/>
      <c r="AP20" s="59"/>
      <c r="AQ20" s="59"/>
    </row>
    <row r="21" spans="37:43" ht="13.2" x14ac:dyDescent="0.25">
      <c r="AK21" s="59"/>
      <c r="AL21" s="59"/>
      <c r="AM21" s="59"/>
      <c r="AN21" s="59"/>
      <c r="AO21" s="59"/>
      <c r="AP21" s="59"/>
      <c r="AQ21" s="59"/>
    </row>
    <row r="22" spans="37:43" ht="13.2" x14ac:dyDescent="0.25">
      <c r="AK22" s="59"/>
      <c r="AL22" s="59"/>
      <c r="AM22" s="59"/>
      <c r="AN22" s="59"/>
      <c r="AO22" s="59"/>
      <c r="AP22" s="59"/>
      <c r="AQ22" s="59"/>
    </row>
    <row r="23" spans="37:43" ht="13.2" x14ac:dyDescent="0.25">
      <c r="AK23" s="59"/>
      <c r="AL23" s="59"/>
      <c r="AM23" s="59"/>
      <c r="AN23" s="59"/>
      <c r="AO23" s="59"/>
      <c r="AP23" s="59"/>
      <c r="AQ23" s="59"/>
    </row>
    <row r="24" spans="37:43" ht="13.2" x14ac:dyDescent="0.25">
      <c r="AK24" s="59"/>
      <c r="AL24" s="59"/>
      <c r="AM24" s="59"/>
      <c r="AN24" s="59"/>
      <c r="AO24" s="59"/>
      <c r="AP24" s="59"/>
      <c r="AQ24" s="59"/>
    </row>
    <row r="25" spans="37:43" ht="13.2" x14ac:dyDescent="0.25">
      <c r="AK25" s="59"/>
      <c r="AL25" s="59"/>
      <c r="AM25" s="59"/>
      <c r="AN25" s="59"/>
      <c r="AO25" s="59"/>
      <c r="AP25" s="59"/>
      <c r="AQ25" s="59"/>
    </row>
    <row r="26" spans="37:43" ht="13.2" x14ac:dyDescent="0.25">
      <c r="AK26" s="59"/>
      <c r="AL26" s="59"/>
      <c r="AM26" s="59"/>
      <c r="AN26" s="59"/>
      <c r="AO26" s="59"/>
      <c r="AP26" s="59"/>
      <c r="AQ26" s="59"/>
    </row>
    <row r="27" spans="37:43" ht="13.2" x14ac:dyDescent="0.25">
      <c r="AK27" s="59"/>
      <c r="AL27" s="59"/>
      <c r="AM27" s="59"/>
      <c r="AN27" s="59"/>
      <c r="AO27" s="59"/>
      <c r="AP27" s="59"/>
      <c r="AQ27" s="59"/>
    </row>
    <row r="28" spans="37:43" ht="13.2" x14ac:dyDescent="0.25">
      <c r="AK28" s="59"/>
      <c r="AL28" s="59"/>
      <c r="AM28" s="59"/>
      <c r="AN28" s="59"/>
      <c r="AO28" s="59"/>
      <c r="AP28" s="59"/>
      <c r="AQ28" s="59"/>
    </row>
    <row r="29" spans="37:43" ht="13.2" x14ac:dyDescent="0.25">
      <c r="AK29" s="59"/>
      <c r="AL29" s="59"/>
      <c r="AM29" s="59"/>
      <c r="AN29" s="59"/>
      <c r="AO29" s="59"/>
      <c r="AP29" s="59"/>
      <c r="AQ29" s="59"/>
    </row>
    <row r="30" spans="37:43" ht="13.2" x14ac:dyDescent="0.25">
      <c r="AK30" s="59"/>
      <c r="AL30" s="59"/>
      <c r="AM30" s="59"/>
      <c r="AN30" s="59"/>
      <c r="AO30" s="59"/>
      <c r="AP30" s="59"/>
      <c r="AQ30" s="59"/>
    </row>
    <row r="31" spans="37:43" ht="13.2" x14ac:dyDescent="0.25">
      <c r="AK31" s="59"/>
      <c r="AL31" s="59"/>
      <c r="AM31" s="59"/>
      <c r="AN31" s="59"/>
      <c r="AO31" s="59"/>
      <c r="AP31" s="59"/>
      <c r="AQ31" s="59"/>
    </row>
    <row r="32" spans="37:43" ht="13.2" x14ac:dyDescent="0.25">
      <c r="AK32" s="59"/>
      <c r="AL32" s="59"/>
      <c r="AM32" s="59"/>
      <c r="AN32" s="59"/>
      <c r="AO32" s="59"/>
      <c r="AP32" s="59"/>
      <c r="AQ32" s="59"/>
    </row>
    <row r="33" spans="37:43" ht="13.2" x14ac:dyDescent="0.25">
      <c r="AK33" s="59"/>
      <c r="AL33" s="59"/>
      <c r="AM33" s="59"/>
      <c r="AN33" s="59"/>
      <c r="AO33" s="59"/>
      <c r="AP33" s="59"/>
      <c r="AQ33" s="59"/>
    </row>
    <row r="34" spans="37:43" ht="13.2" x14ac:dyDescent="0.25">
      <c r="AK34" s="59"/>
      <c r="AL34" s="59"/>
      <c r="AM34" s="59"/>
      <c r="AN34" s="59"/>
      <c r="AO34" s="59"/>
      <c r="AP34" s="59"/>
      <c r="AQ34" s="59"/>
    </row>
    <row r="35" spans="37:43" ht="13.2" x14ac:dyDescent="0.25">
      <c r="AK35" s="59"/>
      <c r="AL35" s="59"/>
      <c r="AM35" s="59"/>
      <c r="AN35" s="59"/>
      <c r="AO35" s="59"/>
      <c r="AP35" s="59"/>
      <c r="AQ35" s="59"/>
    </row>
    <row r="36" spans="37:43" ht="13.2" x14ac:dyDescent="0.25">
      <c r="AK36" s="59"/>
      <c r="AL36" s="59"/>
      <c r="AM36" s="59"/>
      <c r="AN36" s="59"/>
      <c r="AO36" s="59"/>
      <c r="AP36" s="59"/>
      <c r="AQ36" s="59"/>
    </row>
    <row r="37" spans="37:43" ht="13.2" x14ac:dyDescent="0.25">
      <c r="AK37" s="59"/>
      <c r="AL37" s="59"/>
      <c r="AM37" s="59"/>
      <c r="AN37" s="59"/>
      <c r="AO37" s="59"/>
      <c r="AP37" s="59"/>
      <c r="AQ37" s="59"/>
    </row>
    <row r="38" spans="37:43" ht="13.2" x14ac:dyDescent="0.25">
      <c r="AK38" s="59"/>
      <c r="AL38" s="59"/>
      <c r="AM38" s="59"/>
      <c r="AN38" s="59"/>
      <c r="AO38" s="59"/>
      <c r="AP38" s="59"/>
      <c r="AQ38" s="59"/>
    </row>
    <row r="39" spans="37:43" ht="13.2" x14ac:dyDescent="0.25">
      <c r="AK39" s="59"/>
      <c r="AL39" s="59"/>
      <c r="AM39" s="59"/>
      <c r="AN39" s="59"/>
      <c r="AO39" s="59"/>
      <c r="AP39" s="59"/>
      <c r="AQ39" s="59"/>
    </row>
    <row r="40" spans="37:43" ht="13.2" x14ac:dyDescent="0.25">
      <c r="AK40" s="59"/>
      <c r="AL40" s="59"/>
      <c r="AM40" s="59"/>
      <c r="AN40" s="59"/>
      <c r="AO40" s="59"/>
      <c r="AP40" s="59"/>
      <c r="AQ40" s="59"/>
    </row>
    <row r="41" spans="37:43" ht="13.2" x14ac:dyDescent="0.25">
      <c r="AK41" s="59"/>
      <c r="AL41" s="59"/>
      <c r="AM41" s="59"/>
      <c r="AN41" s="59"/>
      <c r="AO41" s="59"/>
      <c r="AP41" s="59"/>
      <c r="AQ41" s="59"/>
    </row>
    <row r="42" spans="37:43" ht="13.2" x14ac:dyDescent="0.25">
      <c r="AK42" s="59"/>
      <c r="AL42" s="59"/>
      <c r="AM42" s="59"/>
      <c r="AN42" s="59"/>
      <c r="AO42" s="59"/>
      <c r="AP42" s="59"/>
      <c r="AQ42" s="59"/>
    </row>
    <row r="43" spans="37:43" ht="13.2" x14ac:dyDescent="0.25">
      <c r="AK43" s="59"/>
      <c r="AL43" s="59"/>
      <c r="AM43" s="59"/>
      <c r="AN43" s="59"/>
      <c r="AO43" s="59"/>
      <c r="AP43" s="59"/>
      <c r="AQ43" s="59"/>
    </row>
    <row r="44" spans="37:43" ht="13.2" x14ac:dyDescent="0.25">
      <c r="AK44" s="59"/>
      <c r="AL44" s="59"/>
      <c r="AM44" s="59"/>
      <c r="AN44" s="59"/>
      <c r="AO44" s="59"/>
      <c r="AP44" s="59"/>
      <c r="AQ44" s="59"/>
    </row>
    <row r="45" spans="37:43" ht="13.2" x14ac:dyDescent="0.25">
      <c r="AK45" s="59"/>
      <c r="AL45" s="59"/>
      <c r="AM45" s="59"/>
      <c r="AN45" s="59"/>
      <c r="AO45" s="59"/>
      <c r="AP45" s="59"/>
      <c r="AQ45" s="59"/>
    </row>
    <row r="46" spans="37:43" ht="13.2" x14ac:dyDescent="0.25">
      <c r="AK46" s="59"/>
      <c r="AL46" s="59"/>
      <c r="AM46" s="59"/>
      <c r="AN46" s="59"/>
      <c r="AO46" s="59"/>
      <c r="AP46" s="59"/>
      <c r="AQ46" s="59"/>
    </row>
    <row r="47" spans="37:43" ht="13.2" x14ac:dyDescent="0.25">
      <c r="AK47" s="59"/>
      <c r="AL47" s="59"/>
      <c r="AM47" s="59"/>
      <c r="AN47" s="59"/>
      <c r="AO47" s="59"/>
      <c r="AP47" s="59"/>
      <c r="AQ47" s="59"/>
    </row>
    <row r="48" spans="37:43" ht="13.2" x14ac:dyDescent="0.25">
      <c r="AK48" s="59"/>
      <c r="AL48" s="59"/>
      <c r="AM48" s="59"/>
      <c r="AN48" s="59"/>
      <c r="AO48" s="59"/>
      <c r="AP48" s="59"/>
      <c r="AQ48" s="59"/>
    </row>
    <row r="49" spans="37:43" ht="13.2" x14ac:dyDescent="0.25">
      <c r="AK49" s="59"/>
      <c r="AL49" s="59"/>
      <c r="AM49" s="59"/>
      <c r="AN49" s="59"/>
      <c r="AO49" s="59"/>
      <c r="AP49" s="59"/>
      <c r="AQ49" s="59"/>
    </row>
    <row r="50" spans="37:43" ht="13.2" x14ac:dyDescent="0.25">
      <c r="AK50" s="59"/>
      <c r="AL50" s="59"/>
      <c r="AM50" s="59"/>
      <c r="AN50" s="59"/>
      <c r="AO50" s="59"/>
      <c r="AP50" s="59"/>
      <c r="AQ50" s="59"/>
    </row>
    <row r="51" spans="37:43" ht="13.2" x14ac:dyDescent="0.25">
      <c r="AK51" s="59"/>
      <c r="AL51" s="59"/>
      <c r="AM51" s="59"/>
      <c r="AN51" s="59"/>
      <c r="AO51" s="59"/>
      <c r="AP51" s="59"/>
      <c r="AQ51" s="59"/>
    </row>
    <row r="52" spans="37:43" ht="13.2" x14ac:dyDescent="0.25">
      <c r="AK52" s="59"/>
      <c r="AL52" s="59"/>
      <c r="AM52" s="59"/>
      <c r="AN52" s="59"/>
      <c r="AO52" s="59"/>
      <c r="AP52" s="59"/>
      <c r="AQ52" s="59"/>
    </row>
    <row r="53" spans="37:43" ht="13.2" x14ac:dyDescent="0.25">
      <c r="AK53" s="59"/>
      <c r="AL53" s="59"/>
      <c r="AM53" s="59"/>
      <c r="AN53" s="59"/>
      <c r="AO53" s="59"/>
      <c r="AP53" s="59"/>
      <c r="AQ53" s="59"/>
    </row>
    <row r="54" spans="37:43" ht="13.2" x14ac:dyDescent="0.25">
      <c r="AK54" s="59"/>
      <c r="AL54" s="59"/>
      <c r="AM54" s="59"/>
      <c r="AN54" s="59"/>
      <c r="AO54" s="59"/>
      <c r="AP54" s="59"/>
      <c r="AQ54" s="59"/>
    </row>
    <row r="55" spans="37:43" ht="13.2" x14ac:dyDescent="0.25">
      <c r="AK55" s="59"/>
      <c r="AL55" s="59"/>
      <c r="AM55" s="59"/>
      <c r="AN55" s="59"/>
      <c r="AO55" s="59"/>
      <c r="AP55" s="59"/>
      <c r="AQ55" s="59"/>
    </row>
    <row r="56" spans="37:43" ht="13.2" x14ac:dyDescent="0.25">
      <c r="AK56" s="59"/>
      <c r="AL56" s="59"/>
      <c r="AM56" s="59"/>
      <c r="AN56" s="59"/>
      <c r="AO56" s="59"/>
      <c r="AP56" s="59"/>
      <c r="AQ56" s="59"/>
    </row>
    <row r="57" spans="37:43" ht="13.2" x14ac:dyDescent="0.25">
      <c r="AK57" s="59"/>
      <c r="AL57" s="59"/>
      <c r="AM57" s="59"/>
      <c r="AN57" s="59"/>
      <c r="AO57" s="59"/>
      <c r="AP57" s="59"/>
      <c r="AQ57" s="59"/>
    </row>
    <row r="58" spans="37:43" ht="13.2" x14ac:dyDescent="0.25">
      <c r="AK58" s="59"/>
      <c r="AL58" s="59"/>
      <c r="AM58" s="59"/>
      <c r="AN58" s="59"/>
      <c r="AO58" s="59"/>
      <c r="AP58" s="59"/>
      <c r="AQ58" s="59"/>
    </row>
    <row r="59" spans="37:43" ht="13.2" x14ac:dyDescent="0.25">
      <c r="AK59" s="59"/>
      <c r="AL59" s="59"/>
      <c r="AM59" s="59"/>
      <c r="AN59" s="59"/>
      <c r="AO59" s="59"/>
      <c r="AP59" s="59"/>
      <c r="AQ59" s="59"/>
    </row>
    <row r="60" spans="37:43" ht="13.2" x14ac:dyDescent="0.25">
      <c r="AK60" s="59"/>
      <c r="AL60" s="59"/>
      <c r="AM60" s="59"/>
      <c r="AN60" s="59"/>
      <c r="AO60" s="59"/>
      <c r="AP60" s="59"/>
      <c r="AQ60" s="59"/>
    </row>
    <row r="61" spans="37:43" ht="13.2" x14ac:dyDescent="0.25">
      <c r="AK61" s="59"/>
      <c r="AL61" s="59"/>
      <c r="AM61" s="59"/>
      <c r="AN61" s="59"/>
      <c r="AO61" s="59"/>
      <c r="AP61" s="59"/>
      <c r="AQ61" s="59"/>
    </row>
    <row r="62" spans="37:43" ht="13.2" x14ac:dyDescent="0.25">
      <c r="AK62" s="59"/>
      <c r="AL62" s="59"/>
      <c r="AM62" s="59"/>
      <c r="AN62" s="59"/>
      <c r="AO62" s="59"/>
      <c r="AP62" s="59"/>
      <c r="AQ62" s="59"/>
    </row>
    <row r="63" spans="37:43" ht="13.2" x14ac:dyDescent="0.25">
      <c r="AK63" s="59"/>
      <c r="AL63" s="59"/>
      <c r="AM63" s="59"/>
      <c r="AN63" s="59"/>
      <c r="AO63" s="59"/>
      <c r="AP63" s="59"/>
      <c r="AQ63" s="59"/>
    </row>
    <row r="64" spans="37:43" ht="13.2" x14ac:dyDescent="0.25">
      <c r="AK64" s="59"/>
      <c r="AL64" s="59"/>
      <c r="AM64" s="59"/>
      <c r="AN64" s="59"/>
      <c r="AO64" s="59"/>
      <c r="AP64" s="59"/>
      <c r="AQ64" s="59"/>
    </row>
    <row r="65" spans="37:43" ht="13.2" x14ac:dyDescent="0.25">
      <c r="AK65" s="59"/>
      <c r="AL65" s="59"/>
      <c r="AM65" s="59"/>
      <c r="AN65" s="59"/>
      <c r="AO65" s="59"/>
      <c r="AP65" s="59"/>
      <c r="AQ65" s="59"/>
    </row>
    <row r="66" spans="37:43" ht="13.2" x14ac:dyDescent="0.25">
      <c r="AK66" s="59"/>
      <c r="AL66" s="59"/>
      <c r="AM66" s="59"/>
      <c r="AN66" s="59"/>
      <c r="AO66" s="59"/>
      <c r="AP66" s="59"/>
      <c r="AQ66" s="59"/>
    </row>
    <row r="67" spans="37:43" ht="13.2" x14ac:dyDescent="0.25">
      <c r="AK67" s="59"/>
      <c r="AL67" s="59"/>
      <c r="AM67" s="59"/>
      <c r="AN67" s="59"/>
      <c r="AO67" s="59"/>
      <c r="AP67" s="59"/>
      <c r="AQ67" s="59"/>
    </row>
    <row r="68" spans="37:43" ht="13.2" x14ac:dyDescent="0.25">
      <c r="AK68" s="59"/>
      <c r="AL68" s="59"/>
      <c r="AM68" s="59"/>
      <c r="AN68" s="59"/>
      <c r="AO68" s="59"/>
      <c r="AP68" s="59"/>
      <c r="AQ68" s="59"/>
    </row>
    <row r="69" spans="37:43" ht="13.2" x14ac:dyDescent="0.25">
      <c r="AK69" s="59"/>
      <c r="AL69" s="59"/>
      <c r="AM69" s="59"/>
      <c r="AN69" s="59"/>
      <c r="AO69" s="59"/>
      <c r="AP69" s="59"/>
      <c r="AQ69" s="59"/>
    </row>
    <row r="70" spans="37:43" ht="13.2" x14ac:dyDescent="0.25">
      <c r="AK70" s="59"/>
      <c r="AL70" s="59"/>
      <c r="AM70" s="59"/>
      <c r="AN70" s="59"/>
      <c r="AO70" s="59"/>
      <c r="AP70" s="59"/>
      <c r="AQ70" s="59"/>
    </row>
    <row r="71" spans="37:43" ht="13.2" x14ac:dyDescent="0.25">
      <c r="AK71" s="59"/>
      <c r="AL71" s="59"/>
      <c r="AM71" s="59"/>
      <c r="AN71" s="59"/>
      <c r="AO71" s="59"/>
      <c r="AP71" s="59"/>
      <c r="AQ71" s="59"/>
    </row>
    <row r="72" spans="37:43" ht="13.2" x14ac:dyDescent="0.25">
      <c r="AK72" s="59"/>
      <c r="AL72" s="59"/>
      <c r="AM72" s="59"/>
      <c r="AN72" s="59"/>
      <c r="AO72" s="59"/>
      <c r="AP72" s="59"/>
      <c r="AQ72" s="59"/>
    </row>
    <row r="73" spans="37:43" ht="13.2" x14ac:dyDescent="0.25">
      <c r="AK73" s="59"/>
      <c r="AL73" s="59"/>
      <c r="AM73" s="59"/>
      <c r="AN73" s="59"/>
      <c r="AO73" s="59"/>
      <c r="AP73" s="59"/>
      <c r="AQ73" s="59"/>
    </row>
    <row r="74" spans="37:43" ht="13.2" x14ac:dyDescent="0.25">
      <c r="AK74" s="59"/>
      <c r="AL74" s="59"/>
      <c r="AM74" s="59"/>
      <c r="AN74" s="59"/>
      <c r="AO74" s="59"/>
      <c r="AP74" s="59"/>
      <c r="AQ74" s="59"/>
    </row>
    <row r="75" spans="37:43" ht="13.2" x14ac:dyDescent="0.25">
      <c r="AK75" s="59"/>
      <c r="AL75" s="59"/>
      <c r="AM75" s="59"/>
      <c r="AN75" s="59"/>
      <c r="AO75" s="59"/>
      <c r="AP75" s="59"/>
      <c r="AQ75" s="59"/>
    </row>
    <row r="76" spans="37:43" ht="13.2" x14ac:dyDescent="0.25">
      <c r="AK76" s="59"/>
      <c r="AL76" s="59"/>
      <c r="AM76" s="59"/>
      <c r="AN76" s="59"/>
      <c r="AO76" s="59"/>
      <c r="AP76" s="59"/>
      <c r="AQ76" s="59"/>
    </row>
    <row r="77" spans="37:43" ht="13.2" x14ac:dyDescent="0.25">
      <c r="AK77" s="59"/>
      <c r="AL77" s="59"/>
      <c r="AM77" s="59"/>
      <c r="AN77" s="59"/>
      <c r="AO77" s="59"/>
      <c r="AP77" s="59"/>
      <c r="AQ77" s="59"/>
    </row>
    <row r="78" spans="37:43" ht="13.2" x14ac:dyDescent="0.25">
      <c r="AK78" s="59"/>
      <c r="AL78" s="59"/>
      <c r="AM78" s="59"/>
      <c r="AN78" s="59"/>
      <c r="AO78" s="59"/>
      <c r="AP78" s="59"/>
      <c r="AQ78" s="59"/>
    </row>
    <row r="79" spans="37:43" ht="13.2" x14ac:dyDescent="0.25">
      <c r="AK79" s="59"/>
      <c r="AL79" s="59"/>
      <c r="AM79" s="59"/>
      <c r="AN79" s="59"/>
      <c r="AO79" s="59"/>
      <c r="AP79" s="59"/>
      <c r="AQ79" s="59"/>
    </row>
    <row r="80" spans="37:43" ht="13.2" x14ac:dyDescent="0.25">
      <c r="AK80" s="59"/>
      <c r="AL80" s="59"/>
      <c r="AM80" s="59"/>
      <c r="AN80" s="59"/>
      <c r="AO80" s="59"/>
      <c r="AP80" s="59"/>
      <c r="AQ80" s="59"/>
    </row>
    <row r="81" spans="37:43" ht="13.2" x14ac:dyDescent="0.25">
      <c r="AK81" s="59"/>
      <c r="AL81" s="59"/>
      <c r="AM81" s="59"/>
      <c r="AN81" s="59"/>
      <c r="AO81" s="59"/>
      <c r="AP81" s="59"/>
      <c r="AQ81" s="59"/>
    </row>
    <row r="82" spans="37:43" ht="13.2" x14ac:dyDescent="0.25">
      <c r="AK82" s="59"/>
      <c r="AL82" s="59"/>
      <c r="AM82" s="59"/>
      <c r="AN82" s="59"/>
      <c r="AO82" s="59"/>
      <c r="AP82" s="59"/>
      <c r="AQ82" s="59"/>
    </row>
    <row r="83" spans="37:43" ht="13.2" x14ac:dyDescent="0.25">
      <c r="AK83" s="59"/>
      <c r="AL83" s="59"/>
      <c r="AM83" s="59"/>
      <c r="AN83" s="59"/>
      <c r="AO83" s="59"/>
      <c r="AP83" s="59"/>
      <c r="AQ83" s="59"/>
    </row>
    <row r="84" spans="37:43" ht="13.2" x14ac:dyDescent="0.25">
      <c r="AK84" s="59"/>
      <c r="AL84" s="59"/>
      <c r="AM84" s="59"/>
      <c r="AN84" s="59"/>
      <c r="AO84" s="59"/>
      <c r="AP84" s="59"/>
      <c r="AQ84" s="59"/>
    </row>
    <row r="85" spans="37:43" ht="13.2" x14ac:dyDescent="0.25">
      <c r="AK85" s="59"/>
      <c r="AL85" s="59"/>
      <c r="AM85" s="59"/>
      <c r="AN85" s="59"/>
      <c r="AO85" s="59"/>
      <c r="AP85" s="59"/>
      <c r="AQ85" s="59"/>
    </row>
    <row r="86" spans="37:43" ht="13.2" x14ac:dyDescent="0.25">
      <c r="AK86" s="59"/>
      <c r="AL86" s="59"/>
      <c r="AM86" s="59"/>
      <c r="AN86" s="59"/>
      <c r="AO86" s="59"/>
      <c r="AP86" s="59"/>
      <c r="AQ86" s="59"/>
    </row>
    <row r="87" spans="37:43" ht="13.2" x14ac:dyDescent="0.25">
      <c r="AK87" s="59"/>
      <c r="AL87" s="59"/>
      <c r="AM87" s="59"/>
      <c r="AN87" s="59"/>
      <c r="AO87" s="59"/>
      <c r="AP87" s="59"/>
      <c r="AQ87" s="59"/>
    </row>
    <row r="88" spans="37:43" ht="13.2" x14ac:dyDescent="0.25">
      <c r="AK88" s="59"/>
      <c r="AL88" s="59"/>
      <c r="AM88" s="59"/>
      <c r="AN88" s="59"/>
      <c r="AO88" s="59"/>
      <c r="AP88" s="59"/>
      <c r="AQ88" s="59"/>
    </row>
    <row r="89" spans="37:43" ht="13.2" x14ac:dyDescent="0.25">
      <c r="AK89" s="59"/>
      <c r="AL89" s="59"/>
      <c r="AM89" s="59"/>
      <c r="AN89" s="59"/>
      <c r="AO89" s="59"/>
      <c r="AP89" s="59"/>
      <c r="AQ89" s="59"/>
    </row>
    <row r="90" spans="37:43" ht="13.2" x14ac:dyDescent="0.25">
      <c r="AK90" s="59"/>
      <c r="AL90" s="59"/>
      <c r="AM90" s="59"/>
      <c r="AN90" s="59"/>
      <c r="AO90" s="59"/>
      <c r="AP90" s="59"/>
      <c r="AQ90" s="59"/>
    </row>
    <row r="91" spans="37:43" ht="13.2" x14ac:dyDescent="0.25">
      <c r="AK91" s="59"/>
      <c r="AL91" s="59"/>
      <c r="AM91" s="59"/>
      <c r="AN91" s="59"/>
      <c r="AO91" s="59"/>
      <c r="AP91" s="59"/>
      <c r="AQ91" s="59"/>
    </row>
    <row r="92" spans="37:43" ht="13.2" x14ac:dyDescent="0.25">
      <c r="AK92" s="59"/>
      <c r="AL92" s="59"/>
      <c r="AM92" s="59"/>
      <c r="AN92" s="59"/>
      <c r="AO92" s="59"/>
      <c r="AP92" s="59"/>
      <c r="AQ92" s="59"/>
    </row>
    <row r="93" spans="37:43" ht="13.2" x14ac:dyDescent="0.25">
      <c r="AK93" s="59"/>
      <c r="AL93" s="59"/>
      <c r="AM93" s="59"/>
      <c r="AN93" s="59"/>
      <c r="AO93" s="59"/>
      <c r="AP93" s="59"/>
      <c r="AQ93" s="59"/>
    </row>
    <row r="94" spans="37:43" ht="13.2" x14ac:dyDescent="0.25">
      <c r="AK94" s="59"/>
      <c r="AL94" s="59"/>
      <c r="AM94" s="59"/>
      <c r="AN94" s="59"/>
      <c r="AO94" s="59"/>
      <c r="AP94" s="59"/>
      <c r="AQ94" s="59"/>
    </row>
    <row r="95" spans="37:43" ht="13.2" x14ac:dyDescent="0.25">
      <c r="AK95" s="59"/>
      <c r="AL95" s="59"/>
      <c r="AM95" s="59"/>
      <c r="AN95" s="59"/>
      <c r="AO95" s="59"/>
      <c r="AP95" s="59"/>
      <c r="AQ95" s="59"/>
    </row>
    <row r="96" spans="37:43" ht="13.2" x14ac:dyDescent="0.25">
      <c r="AK96" s="59"/>
      <c r="AL96" s="59"/>
      <c r="AM96" s="59"/>
      <c r="AN96" s="59"/>
      <c r="AO96" s="59"/>
      <c r="AP96" s="59"/>
      <c r="AQ96" s="59"/>
    </row>
    <row r="97" spans="37:43" ht="13.2" x14ac:dyDescent="0.25">
      <c r="AK97" s="59"/>
      <c r="AL97" s="59"/>
      <c r="AM97" s="59"/>
      <c r="AN97" s="59"/>
      <c r="AO97" s="59"/>
      <c r="AP97" s="59"/>
      <c r="AQ97" s="59"/>
    </row>
    <row r="98" spans="37:43" ht="13.2" x14ac:dyDescent="0.25">
      <c r="AK98" s="59"/>
      <c r="AL98" s="59"/>
      <c r="AM98" s="59"/>
      <c r="AN98" s="59"/>
      <c r="AO98" s="59"/>
      <c r="AP98" s="59"/>
      <c r="AQ98" s="59"/>
    </row>
    <row r="99" spans="37:43" ht="13.2" x14ac:dyDescent="0.25">
      <c r="AK99" s="59"/>
      <c r="AL99" s="59"/>
      <c r="AM99" s="59"/>
      <c r="AN99" s="59"/>
      <c r="AO99" s="59"/>
      <c r="AP99" s="59"/>
      <c r="AQ99" s="59"/>
    </row>
    <row r="100" spans="37:43" ht="13.2" x14ac:dyDescent="0.25">
      <c r="AK100" s="59"/>
      <c r="AL100" s="59"/>
      <c r="AM100" s="59"/>
      <c r="AN100" s="59"/>
      <c r="AO100" s="59"/>
      <c r="AP100" s="59"/>
      <c r="AQ100" s="59"/>
    </row>
    <row r="101" spans="37:43" ht="13.2" x14ac:dyDescent="0.25">
      <c r="AK101" s="59"/>
      <c r="AL101" s="59"/>
      <c r="AM101" s="59"/>
      <c r="AN101" s="59"/>
      <c r="AO101" s="59"/>
      <c r="AP101" s="59"/>
      <c r="AQ101" s="59"/>
    </row>
    <row r="102" spans="37:43" ht="13.2" x14ac:dyDescent="0.25">
      <c r="AK102" s="59"/>
      <c r="AL102" s="59"/>
      <c r="AM102" s="59"/>
      <c r="AN102" s="59"/>
      <c r="AO102" s="59"/>
      <c r="AP102" s="59"/>
      <c r="AQ102" s="59"/>
    </row>
    <row r="103" spans="37:43" ht="13.2" x14ac:dyDescent="0.25">
      <c r="AK103" s="59"/>
      <c r="AL103" s="59"/>
      <c r="AM103" s="59"/>
      <c r="AN103" s="59"/>
      <c r="AO103" s="59"/>
      <c r="AP103" s="59"/>
      <c r="AQ103" s="59"/>
    </row>
    <row r="104" spans="37:43" ht="13.2" x14ac:dyDescent="0.25">
      <c r="AK104" s="59"/>
      <c r="AL104" s="59"/>
      <c r="AM104" s="59"/>
      <c r="AN104" s="59"/>
      <c r="AO104" s="59"/>
      <c r="AP104" s="59"/>
      <c r="AQ104" s="59"/>
    </row>
    <row r="105" spans="37:43" ht="13.2" x14ac:dyDescent="0.25">
      <c r="AK105" s="59"/>
      <c r="AL105" s="59"/>
      <c r="AM105" s="59"/>
      <c r="AN105" s="59"/>
      <c r="AO105" s="59"/>
      <c r="AP105" s="59"/>
      <c r="AQ105" s="59"/>
    </row>
    <row r="106" spans="37:43" ht="13.2" x14ac:dyDescent="0.25">
      <c r="AK106" s="59"/>
      <c r="AL106" s="59"/>
      <c r="AM106" s="59"/>
      <c r="AN106" s="59"/>
      <c r="AO106" s="59"/>
      <c r="AP106" s="59"/>
      <c r="AQ106" s="59"/>
    </row>
    <row r="107" spans="37:43" ht="13.2" x14ac:dyDescent="0.25">
      <c r="AK107" s="59"/>
      <c r="AL107" s="59"/>
      <c r="AM107" s="59"/>
      <c r="AN107" s="59"/>
      <c r="AO107" s="59"/>
      <c r="AP107" s="59"/>
      <c r="AQ107" s="59"/>
    </row>
    <row r="108" spans="37:43" ht="13.2" x14ac:dyDescent="0.25">
      <c r="AK108" s="59"/>
      <c r="AL108" s="59"/>
      <c r="AM108" s="59"/>
      <c r="AN108" s="59"/>
      <c r="AO108" s="59"/>
      <c r="AP108" s="59"/>
      <c r="AQ108" s="59"/>
    </row>
    <row r="109" spans="37:43" ht="13.2" x14ac:dyDescent="0.25">
      <c r="AK109" s="59"/>
      <c r="AL109" s="59"/>
      <c r="AM109" s="59"/>
      <c r="AN109" s="59"/>
      <c r="AO109" s="59"/>
      <c r="AP109" s="59"/>
      <c r="AQ109" s="59"/>
    </row>
    <row r="110" spans="37:43" ht="13.2" x14ac:dyDescent="0.25">
      <c r="AK110" s="59"/>
      <c r="AL110" s="59"/>
      <c r="AM110" s="59"/>
      <c r="AN110" s="59"/>
      <c r="AO110" s="59"/>
      <c r="AP110" s="59"/>
      <c r="AQ110" s="59"/>
    </row>
    <row r="111" spans="37:43" ht="13.2" x14ac:dyDescent="0.25">
      <c r="AK111" s="59"/>
      <c r="AL111" s="59"/>
      <c r="AM111" s="59"/>
      <c r="AN111" s="59"/>
      <c r="AO111" s="59"/>
      <c r="AP111" s="59"/>
      <c r="AQ111" s="59"/>
    </row>
    <row r="112" spans="37:43" ht="13.2" x14ac:dyDescent="0.25">
      <c r="AK112" s="59"/>
      <c r="AL112" s="59"/>
      <c r="AM112" s="59"/>
      <c r="AN112" s="59"/>
      <c r="AO112" s="59"/>
      <c r="AP112" s="59"/>
      <c r="AQ112" s="59"/>
    </row>
    <row r="113" spans="37:43" ht="13.2" x14ac:dyDescent="0.25">
      <c r="AK113" s="59"/>
      <c r="AL113" s="59"/>
      <c r="AM113" s="59"/>
      <c r="AN113" s="59"/>
      <c r="AO113" s="59"/>
      <c r="AP113" s="59"/>
      <c r="AQ113" s="59"/>
    </row>
    <row r="114" spans="37:43" ht="13.2" x14ac:dyDescent="0.25">
      <c r="AK114" s="59"/>
      <c r="AL114" s="59"/>
      <c r="AM114" s="59"/>
      <c r="AN114" s="59"/>
      <c r="AO114" s="59"/>
      <c r="AP114" s="59"/>
      <c r="AQ114" s="59"/>
    </row>
    <row r="115" spans="37:43" ht="13.2" x14ac:dyDescent="0.25">
      <c r="AK115" s="59"/>
      <c r="AL115" s="59"/>
      <c r="AM115" s="59"/>
      <c r="AN115" s="59"/>
      <c r="AO115" s="59"/>
      <c r="AP115" s="59"/>
      <c r="AQ115" s="59"/>
    </row>
    <row r="116" spans="37:43" ht="13.2" x14ac:dyDescent="0.25">
      <c r="AK116" s="59"/>
      <c r="AL116" s="59"/>
      <c r="AM116" s="59"/>
      <c r="AN116" s="59"/>
      <c r="AO116" s="59"/>
      <c r="AP116" s="59"/>
      <c r="AQ116" s="59"/>
    </row>
    <row r="117" spans="37:43" ht="13.2" x14ac:dyDescent="0.25">
      <c r="AK117" s="59"/>
      <c r="AL117" s="59"/>
      <c r="AM117" s="59"/>
      <c r="AN117" s="59"/>
      <c r="AO117" s="59"/>
      <c r="AP117" s="59"/>
      <c r="AQ117" s="59"/>
    </row>
    <row r="118" spans="37:43" ht="13.2" x14ac:dyDescent="0.25">
      <c r="AK118" s="59"/>
      <c r="AL118" s="59"/>
      <c r="AM118" s="59"/>
      <c r="AN118" s="59"/>
      <c r="AO118" s="59"/>
      <c r="AP118" s="59"/>
      <c r="AQ118" s="59"/>
    </row>
    <row r="119" spans="37:43" ht="13.2" x14ac:dyDescent="0.25">
      <c r="AK119" s="59"/>
      <c r="AL119" s="59"/>
      <c r="AM119" s="59"/>
      <c r="AN119" s="59"/>
      <c r="AO119" s="59"/>
      <c r="AP119" s="59"/>
      <c r="AQ119" s="59"/>
    </row>
    <row r="120" spans="37:43" ht="13.2" x14ac:dyDescent="0.25">
      <c r="AK120" s="59"/>
      <c r="AL120" s="59"/>
      <c r="AM120" s="59"/>
      <c r="AN120" s="59"/>
      <c r="AO120" s="59"/>
      <c r="AP120" s="59"/>
      <c r="AQ120" s="59"/>
    </row>
    <row r="121" spans="37:43" ht="13.2" x14ac:dyDescent="0.25">
      <c r="AK121" s="59"/>
      <c r="AL121" s="59"/>
      <c r="AM121" s="59"/>
      <c r="AN121" s="59"/>
      <c r="AO121" s="59"/>
      <c r="AP121" s="59"/>
      <c r="AQ121" s="59"/>
    </row>
    <row r="122" spans="37:43" ht="13.2" x14ac:dyDescent="0.25">
      <c r="AK122" s="59"/>
      <c r="AL122" s="59"/>
      <c r="AM122" s="59"/>
      <c r="AN122" s="59"/>
      <c r="AO122" s="59"/>
      <c r="AP122" s="59"/>
      <c r="AQ122" s="59"/>
    </row>
    <row r="123" spans="37:43" ht="13.2" x14ac:dyDescent="0.25">
      <c r="AK123" s="59"/>
      <c r="AL123" s="59"/>
      <c r="AM123" s="59"/>
      <c r="AN123" s="59"/>
      <c r="AO123" s="59"/>
      <c r="AP123" s="59"/>
      <c r="AQ123" s="59"/>
    </row>
    <row r="124" spans="37:43" ht="13.2" x14ac:dyDescent="0.25">
      <c r="AK124" s="59"/>
      <c r="AL124" s="59"/>
      <c r="AM124" s="59"/>
      <c r="AN124" s="59"/>
      <c r="AO124" s="59"/>
      <c r="AP124" s="59"/>
      <c r="AQ124" s="59"/>
    </row>
    <row r="125" spans="37:43" ht="13.2" x14ac:dyDescent="0.25">
      <c r="AK125" s="59"/>
      <c r="AL125" s="59"/>
      <c r="AM125" s="59"/>
      <c r="AN125" s="59"/>
      <c r="AO125" s="59"/>
      <c r="AP125" s="59"/>
      <c r="AQ125" s="59"/>
    </row>
    <row r="126" spans="37:43" ht="13.2" x14ac:dyDescent="0.25">
      <c r="AK126" s="59"/>
      <c r="AL126" s="59"/>
      <c r="AM126" s="59"/>
      <c r="AN126" s="59"/>
      <c r="AO126" s="59"/>
      <c r="AP126" s="59"/>
      <c r="AQ126" s="59"/>
    </row>
    <row r="127" spans="37:43" ht="13.2" x14ac:dyDescent="0.25">
      <c r="AK127" s="59"/>
      <c r="AL127" s="59"/>
      <c r="AM127" s="59"/>
      <c r="AN127" s="59"/>
      <c r="AO127" s="59"/>
      <c r="AP127" s="59"/>
      <c r="AQ127" s="59"/>
    </row>
    <row r="128" spans="37:43" ht="13.2" x14ac:dyDescent="0.25">
      <c r="AK128" s="59"/>
      <c r="AL128" s="59"/>
      <c r="AM128" s="59"/>
      <c r="AN128" s="59"/>
      <c r="AO128" s="59"/>
      <c r="AP128" s="59"/>
      <c r="AQ128" s="59"/>
    </row>
    <row r="129" spans="37:43" ht="13.2" x14ac:dyDescent="0.25">
      <c r="AK129" s="59"/>
      <c r="AL129" s="59"/>
      <c r="AM129" s="59"/>
      <c r="AN129" s="59"/>
      <c r="AO129" s="59"/>
      <c r="AP129" s="59"/>
      <c r="AQ129" s="59"/>
    </row>
    <row r="130" spans="37:43" ht="13.2" x14ac:dyDescent="0.25">
      <c r="AK130" s="59"/>
      <c r="AL130" s="59"/>
      <c r="AM130" s="59"/>
      <c r="AN130" s="59"/>
      <c r="AO130" s="59"/>
      <c r="AP130" s="59"/>
      <c r="AQ130" s="59"/>
    </row>
    <row r="131" spans="37:43" ht="13.2" x14ac:dyDescent="0.25">
      <c r="AK131" s="59"/>
      <c r="AL131" s="59"/>
      <c r="AM131" s="59"/>
      <c r="AN131" s="59"/>
      <c r="AO131" s="59"/>
      <c r="AP131" s="59"/>
      <c r="AQ131" s="59"/>
    </row>
    <row r="132" spans="37:43" ht="13.2" x14ac:dyDescent="0.25">
      <c r="AK132" s="59"/>
      <c r="AL132" s="59"/>
      <c r="AM132" s="59"/>
      <c r="AN132" s="59"/>
      <c r="AO132" s="59"/>
      <c r="AP132" s="59"/>
      <c r="AQ132" s="59"/>
    </row>
    <row r="133" spans="37:43" ht="13.2" x14ac:dyDescent="0.25">
      <c r="AK133" s="59"/>
      <c r="AL133" s="59"/>
      <c r="AM133" s="59"/>
      <c r="AN133" s="59"/>
      <c r="AO133" s="59"/>
      <c r="AP133" s="59"/>
      <c r="AQ133" s="59"/>
    </row>
    <row r="134" spans="37:43" ht="13.2" x14ac:dyDescent="0.25">
      <c r="AK134" s="59"/>
      <c r="AL134" s="59"/>
      <c r="AM134" s="59"/>
      <c r="AN134" s="59"/>
      <c r="AO134" s="59"/>
      <c r="AP134" s="59"/>
      <c r="AQ134" s="59"/>
    </row>
    <row r="135" spans="37:43" ht="13.2" x14ac:dyDescent="0.25">
      <c r="AK135" s="59"/>
      <c r="AL135" s="59"/>
      <c r="AM135" s="59"/>
      <c r="AN135" s="59"/>
      <c r="AO135" s="59"/>
      <c r="AP135" s="59"/>
      <c r="AQ135" s="59"/>
    </row>
    <row r="136" spans="37:43" ht="13.2" x14ac:dyDescent="0.25">
      <c r="AK136" s="59"/>
      <c r="AL136" s="59"/>
      <c r="AM136" s="59"/>
      <c r="AN136" s="59"/>
      <c r="AO136" s="59"/>
      <c r="AP136" s="59"/>
      <c r="AQ136" s="59"/>
    </row>
    <row r="137" spans="37:43" ht="13.2" x14ac:dyDescent="0.25">
      <c r="AK137" s="59"/>
      <c r="AL137" s="59"/>
      <c r="AM137" s="59"/>
      <c r="AN137" s="59"/>
      <c r="AO137" s="59"/>
      <c r="AP137" s="59"/>
      <c r="AQ137" s="59"/>
    </row>
    <row r="138" spans="37:43" ht="13.2" x14ac:dyDescent="0.25">
      <c r="AK138" s="59"/>
      <c r="AL138" s="59"/>
      <c r="AM138" s="59"/>
      <c r="AN138" s="59"/>
      <c r="AO138" s="59"/>
      <c r="AP138" s="59"/>
      <c r="AQ138" s="59"/>
    </row>
    <row r="139" spans="37:43" ht="13.2" x14ac:dyDescent="0.25">
      <c r="AK139" s="59"/>
      <c r="AL139" s="59"/>
      <c r="AM139" s="59"/>
      <c r="AN139" s="59"/>
      <c r="AO139" s="59"/>
      <c r="AP139" s="59"/>
      <c r="AQ139" s="59"/>
    </row>
    <row r="140" spans="37:43" ht="13.2" x14ac:dyDescent="0.25">
      <c r="AK140" s="59"/>
      <c r="AL140" s="59"/>
      <c r="AM140" s="59"/>
      <c r="AN140" s="59"/>
      <c r="AO140" s="59"/>
      <c r="AP140" s="59"/>
      <c r="AQ140" s="59"/>
    </row>
    <row r="141" spans="37:43" ht="13.2" x14ac:dyDescent="0.25">
      <c r="AK141" s="59"/>
      <c r="AL141" s="59"/>
      <c r="AM141" s="59"/>
      <c r="AN141" s="59"/>
      <c r="AO141" s="59"/>
      <c r="AP141" s="59"/>
      <c r="AQ141" s="59"/>
    </row>
    <row r="142" spans="37:43" ht="13.2" x14ac:dyDescent="0.25">
      <c r="AK142" s="59"/>
      <c r="AL142" s="59"/>
      <c r="AM142" s="59"/>
      <c r="AN142" s="59"/>
      <c r="AO142" s="59"/>
      <c r="AP142" s="59"/>
      <c r="AQ142" s="59"/>
    </row>
    <row r="143" spans="37:43" ht="13.2" x14ac:dyDescent="0.25">
      <c r="AK143" s="59"/>
      <c r="AL143" s="59"/>
      <c r="AM143" s="59"/>
      <c r="AN143" s="59"/>
      <c r="AO143" s="59"/>
      <c r="AP143" s="59"/>
      <c r="AQ143" s="59"/>
    </row>
    <row r="144" spans="37:43" ht="13.2" x14ac:dyDescent="0.25">
      <c r="AK144" s="59"/>
      <c r="AL144" s="59"/>
      <c r="AM144" s="59"/>
      <c r="AN144" s="59"/>
      <c r="AO144" s="59"/>
      <c r="AP144" s="59"/>
      <c r="AQ144" s="59"/>
    </row>
    <row r="145" spans="37:43" ht="13.2" x14ac:dyDescent="0.25">
      <c r="AK145" s="59"/>
      <c r="AL145" s="59"/>
      <c r="AM145" s="59"/>
      <c r="AN145" s="59"/>
      <c r="AO145" s="59"/>
      <c r="AP145" s="59"/>
      <c r="AQ145" s="59"/>
    </row>
    <row r="146" spans="37:43" ht="13.2" x14ac:dyDescent="0.25">
      <c r="AK146" s="59"/>
      <c r="AL146" s="59"/>
      <c r="AM146" s="59"/>
      <c r="AN146" s="59"/>
      <c r="AO146" s="59"/>
      <c r="AP146" s="59"/>
      <c r="AQ146" s="59"/>
    </row>
    <row r="147" spans="37:43" ht="13.2" x14ac:dyDescent="0.25">
      <c r="AK147" s="59"/>
      <c r="AL147" s="59"/>
      <c r="AM147" s="59"/>
      <c r="AN147" s="59"/>
      <c r="AO147" s="59"/>
      <c r="AP147" s="59"/>
      <c r="AQ147" s="59"/>
    </row>
    <row r="148" spans="37:43" ht="13.2" x14ac:dyDescent="0.25">
      <c r="AK148" s="59"/>
      <c r="AL148" s="59"/>
      <c r="AM148" s="59"/>
      <c r="AN148" s="59"/>
      <c r="AO148" s="59"/>
      <c r="AP148" s="59"/>
      <c r="AQ148" s="59"/>
    </row>
    <row r="149" spans="37:43" ht="13.2" x14ac:dyDescent="0.25">
      <c r="AK149" s="59"/>
      <c r="AL149" s="59"/>
      <c r="AM149" s="59"/>
      <c r="AN149" s="59"/>
      <c r="AO149" s="59"/>
      <c r="AP149" s="59"/>
      <c r="AQ149" s="59"/>
    </row>
    <row r="150" spans="37:43" ht="13.2" x14ac:dyDescent="0.25">
      <c r="AK150" s="59"/>
      <c r="AL150" s="59"/>
      <c r="AM150" s="59"/>
      <c r="AN150" s="59"/>
      <c r="AO150" s="59"/>
      <c r="AP150" s="59"/>
      <c r="AQ150" s="59"/>
    </row>
    <row r="151" spans="37:43" ht="13.2" x14ac:dyDescent="0.25">
      <c r="AK151" s="59"/>
      <c r="AL151" s="59"/>
      <c r="AM151" s="59"/>
      <c r="AN151" s="59"/>
      <c r="AO151" s="59"/>
      <c r="AP151" s="59"/>
      <c r="AQ151" s="59"/>
    </row>
    <row r="152" spans="37:43" ht="13.2" x14ac:dyDescent="0.25">
      <c r="AK152" s="59"/>
      <c r="AL152" s="59"/>
      <c r="AM152" s="59"/>
      <c r="AN152" s="59"/>
      <c r="AO152" s="59"/>
      <c r="AP152" s="59"/>
      <c r="AQ152" s="59"/>
    </row>
    <row r="153" spans="37:43" ht="13.2" x14ac:dyDescent="0.25">
      <c r="AK153" s="59"/>
      <c r="AL153" s="59"/>
      <c r="AM153" s="59"/>
      <c r="AN153" s="59"/>
      <c r="AO153" s="59"/>
      <c r="AP153" s="59"/>
      <c r="AQ153" s="59"/>
    </row>
    <row r="154" spans="37:43" ht="13.2" x14ac:dyDescent="0.25">
      <c r="AK154" s="59"/>
      <c r="AL154" s="59"/>
      <c r="AM154" s="59"/>
      <c r="AN154" s="59"/>
      <c r="AO154" s="59"/>
      <c r="AP154" s="59"/>
      <c r="AQ154" s="59"/>
    </row>
    <row r="155" spans="37:43" ht="13.2" x14ac:dyDescent="0.25">
      <c r="AK155" s="59"/>
      <c r="AL155" s="59"/>
      <c r="AM155" s="59"/>
      <c r="AN155" s="59"/>
      <c r="AO155" s="59"/>
      <c r="AP155" s="59"/>
      <c r="AQ155" s="59"/>
    </row>
    <row r="156" spans="37:43" ht="13.2" x14ac:dyDescent="0.25">
      <c r="AK156" s="59"/>
      <c r="AL156" s="59"/>
      <c r="AM156" s="59"/>
      <c r="AN156" s="59"/>
      <c r="AO156" s="59"/>
      <c r="AP156" s="59"/>
      <c r="AQ156" s="59"/>
    </row>
    <row r="157" spans="37:43" ht="13.2" x14ac:dyDescent="0.25">
      <c r="AK157" s="59"/>
      <c r="AL157" s="59"/>
      <c r="AM157" s="59"/>
      <c r="AN157" s="59"/>
      <c r="AO157" s="59"/>
      <c r="AP157" s="59"/>
      <c r="AQ157" s="59"/>
    </row>
    <row r="158" spans="37:43" ht="13.2" x14ac:dyDescent="0.25">
      <c r="AK158" s="59"/>
      <c r="AL158" s="59"/>
      <c r="AM158" s="59"/>
      <c r="AN158" s="59"/>
      <c r="AO158" s="59"/>
      <c r="AP158" s="59"/>
      <c r="AQ158" s="59"/>
    </row>
    <row r="159" spans="37:43" ht="13.2" x14ac:dyDescent="0.25">
      <c r="AK159" s="59"/>
      <c r="AL159" s="59"/>
      <c r="AM159" s="59"/>
      <c r="AN159" s="59"/>
      <c r="AO159" s="59"/>
      <c r="AP159" s="59"/>
      <c r="AQ159" s="59"/>
    </row>
    <row r="160" spans="37:43" ht="13.2" x14ac:dyDescent="0.25">
      <c r="AK160" s="59"/>
      <c r="AL160" s="59"/>
      <c r="AM160" s="59"/>
      <c r="AN160" s="59"/>
      <c r="AO160" s="59"/>
      <c r="AP160" s="59"/>
      <c r="AQ160" s="59"/>
    </row>
    <row r="161" spans="37:43" ht="13.2" x14ac:dyDescent="0.25">
      <c r="AK161" s="59"/>
      <c r="AL161" s="59"/>
      <c r="AM161" s="59"/>
      <c r="AN161" s="59"/>
      <c r="AO161" s="59"/>
      <c r="AP161" s="59"/>
      <c r="AQ161" s="59"/>
    </row>
    <row r="162" spans="37:43" ht="13.2" x14ac:dyDescent="0.25">
      <c r="AK162" s="59"/>
      <c r="AL162" s="59"/>
      <c r="AM162" s="59"/>
      <c r="AN162" s="59"/>
      <c r="AO162" s="59"/>
      <c r="AP162" s="59"/>
      <c r="AQ162" s="59"/>
    </row>
    <row r="163" spans="37:43" ht="13.2" x14ac:dyDescent="0.25">
      <c r="AK163" s="59"/>
      <c r="AL163" s="59"/>
      <c r="AM163" s="59"/>
      <c r="AN163" s="59"/>
      <c r="AO163" s="59"/>
      <c r="AP163" s="59"/>
      <c r="AQ163" s="59"/>
    </row>
    <row r="164" spans="37:43" ht="13.2" x14ac:dyDescent="0.25">
      <c r="AK164" s="59"/>
      <c r="AL164" s="59"/>
      <c r="AM164" s="59"/>
      <c r="AN164" s="59"/>
      <c r="AO164" s="59"/>
      <c r="AP164" s="59"/>
      <c r="AQ164" s="59"/>
    </row>
    <row r="165" spans="37:43" ht="13.2" x14ac:dyDescent="0.25">
      <c r="AK165" s="59"/>
      <c r="AL165" s="59"/>
      <c r="AM165" s="59"/>
      <c r="AN165" s="59"/>
      <c r="AO165" s="59"/>
      <c r="AP165" s="59"/>
      <c r="AQ165" s="59"/>
    </row>
    <row r="166" spans="37:43" ht="13.2" x14ac:dyDescent="0.25">
      <c r="AK166" s="59"/>
      <c r="AL166" s="59"/>
      <c r="AM166" s="59"/>
      <c r="AN166" s="59"/>
      <c r="AO166" s="59"/>
      <c r="AP166" s="59"/>
      <c r="AQ166" s="59"/>
    </row>
    <row r="167" spans="37:43" ht="13.2" x14ac:dyDescent="0.25">
      <c r="AK167" s="59"/>
      <c r="AL167" s="59"/>
      <c r="AM167" s="59"/>
      <c r="AN167" s="59"/>
      <c r="AO167" s="59"/>
      <c r="AP167" s="59"/>
      <c r="AQ167" s="59"/>
    </row>
    <row r="168" spans="37:43" ht="13.2" x14ac:dyDescent="0.25">
      <c r="AK168" s="59"/>
      <c r="AL168" s="59"/>
      <c r="AM168" s="59"/>
      <c r="AN168" s="59"/>
      <c r="AO168" s="59"/>
      <c r="AP168" s="59"/>
      <c r="AQ168" s="59"/>
    </row>
    <row r="169" spans="37:43" ht="13.2" x14ac:dyDescent="0.25">
      <c r="AK169" s="59"/>
      <c r="AL169" s="59"/>
      <c r="AM169" s="59"/>
      <c r="AN169" s="59"/>
      <c r="AO169" s="59"/>
      <c r="AP169" s="59"/>
      <c r="AQ169" s="59"/>
    </row>
    <row r="170" spans="37:43" ht="13.2" x14ac:dyDescent="0.25">
      <c r="AK170" s="59"/>
      <c r="AL170" s="59"/>
      <c r="AM170" s="59"/>
      <c r="AN170" s="59"/>
      <c r="AO170" s="59"/>
      <c r="AP170" s="59"/>
      <c r="AQ170" s="59"/>
    </row>
    <row r="171" spans="37:43" ht="13.2" x14ac:dyDescent="0.25">
      <c r="AK171" s="59"/>
      <c r="AL171" s="59"/>
      <c r="AM171" s="59"/>
      <c r="AN171" s="59"/>
      <c r="AO171" s="59"/>
      <c r="AP171" s="59"/>
      <c r="AQ171" s="59"/>
    </row>
    <row r="172" spans="37:43" ht="13.2" x14ac:dyDescent="0.25">
      <c r="AK172" s="59"/>
      <c r="AL172" s="59"/>
      <c r="AM172" s="59"/>
      <c r="AN172" s="59"/>
      <c r="AO172" s="59"/>
      <c r="AP172" s="59"/>
      <c r="AQ172" s="59"/>
    </row>
    <row r="173" spans="37:43" ht="13.2" x14ac:dyDescent="0.25">
      <c r="AK173" s="59"/>
      <c r="AL173" s="59"/>
      <c r="AM173" s="59"/>
      <c r="AN173" s="59"/>
      <c r="AO173" s="59"/>
      <c r="AP173" s="59"/>
      <c r="AQ173" s="59"/>
    </row>
    <row r="174" spans="37:43" ht="13.2" x14ac:dyDescent="0.25">
      <c r="AK174" s="59"/>
      <c r="AL174" s="59"/>
      <c r="AM174" s="59"/>
      <c r="AN174" s="59"/>
      <c r="AO174" s="59"/>
      <c r="AP174" s="59"/>
      <c r="AQ174" s="59"/>
    </row>
    <row r="175" spans="37:43" ht="13.2" x14ac:dyDescent="0.25">
      <c r="AK175" s="59"/>
      <c r="AL175" s="59"/>
      <c r="AM175" s="59"/>
      <c r="AN175" s="59"/>
      <c r="AO175" s="59"/>
      <c r="AP175" s="59"/>
      <c r="AQ175" s="59"/>
    </row>
    <row r="176" spans="37:43" ht="13.2" x14ac:dyDescent="0.25">
      <c r="AK176" s="59"/>
      <c r="AL176" s="59"/>
      <c r="AM176" s="59"/>
      <c r="AN176" s="59"/>
      <c r="AO176" s="59"/>
      <c r="AP176" s="59"/>
      <c r="AQ176" s="59"/>
    </row>
    <row r="177" spans="37:43" ht="13.2" x14ac:dyDescent="0.25">
      <c r="AK177" s="59"/>
      <c r="AL177" s="59"/>
      <c r="AM177" s="59"/>
      <c r="AN177" s="59"/>
      <c r="AO177" s="59"/>
      <c r="AP177" s="59"/>
      <c r="AQ177" s="59"/>
    </row>
    <row r="178" spans="37:43" ht="13.2" x14ac:dyDescent="0.25">
      <c r="AK178" s="59"/>
      <c r="AL178" s="59"/>
      <c r="AM178" s="59"/>
      <c r="AN178" s="59"/>
      <c r="AO178" s="59"/>
      <c r="AP178" s="59"/>
      <c r="AQ178" s="59"/>
    </row>
    <row r="179" spans="37:43" ht="13.2" x14ac:dyDescent="0.25">
      <c r="AK179" s="59"/>
      <c r="AL179" s="59"/>
      <c r="AM179" s="59"/>
      <c r="AN179" s="59"/>
      <c r="AO179" s="59"/>
      <c r="AP179" s="59"/>
      <c r="AQ179" s="59"/>
    </row>
    <row r="180" spans="37:43" ht="13.2" x14ac:dyDescent="0.25">
      <c r="AK180" s="59"/>
      <c r="AL180" s="59"/>
      <c r="AM180" s="59"/>
      <c r="AN180" s="59"/>
      <c r="AO180" s="59"/>
      <c r="AP180" s="59"/>
      <c r="AQ180" s="59"/>
    </row>
    <row r="181" spans="37:43" ht="13.2" x14ac:dyDescent="0.25">
      <c r="AK181" s="59"/>
      <c r="AL181" s="59"/>
      <c r="AM181" s="59"/>
      <c r="AN181" s="59"/>
      <c r="AO181" s="59"/>
      <c r="AP181" s="59"/>
      <c r="AQ181" s="59"/>
    </row>
    <row r="182" spans="37:43" ht="13.2" x14ac:dyDescent="0.25">
      <c r="AK182" s="59"/>
      <c r="AL182" s="59"/>
      <c r="AM182" s="59"/>
      <c r="AN182" s="59"/>
      <c r="AO182" s="59"/>
      <c r="AP182" s="59"/>
      <c r="AQ182" s="59"/>
    </row>
    <row r="183" spans="37:43" ht="13.2" x14ac:dyDescent="0.25">
      <c r="AK183" s="59"/>
      <c r="AL183" s="59"/>
      <c r="AM183" s="59"/>
      <c r="AN183" s="59"/>
      <c r="AO183" s="59"/>
      <c r="AP183" s="59"/>
      <c r="AQ183" s="59"/>
    </row>
    <row r="184" spans="37:43" ht="13.2" x14ac:dyDescent="0.25">
      <c r="AK184" s="59"/>
      <c r="AL184" s="59"/>
      <c r="AM184" s="59"/>
      <c r="AN184" s="59"/>
      <c r="AO184" s="59"/>
      <c r="AP184" s="59"/>
      <c r="AQ184" s="59"/>
    </row>
    <row r="185" spans="37:43" ht="13.2" x14ac:dyDescent="0.25">
      <c r="AK185" s="59"/>
      <c r="AL185" s="59"/>
      <c r="AM185" s="59"/>
      <c r="AN185" s="59"/>
      <c r="AO185" s="59"/>
      <c r="AP185" s="59"/>
      <c r="AQ185" s="59"/>
    </row>
    <row r="186" spans="37:43" ht="13.2" x14ac:dyDescent="0.25">
      <c r="AK186" s="59"/>
      <c r="AL186" s="59"/>
      <c r="AM186" s="59"/>
      <c r="AN186" s="59"/>
      <c r="AO186" s="59"/>
      <c r="AP186" s="59"/>
      <c r="AQ186" s="59"/>
    </row>
    <row r="187" spans="37:43" ht="13.2" x14ac:dyDescent="0.25">
      <c r="AK187" s="59"/>
      <c r="AL187" s="59"/>
      <c r="AM187" s="59"/>
      <c r="AN187" s="59"/>
      <c r="AO187" s="59"/>
      <c r="AP187" s="59"/>
      <c r="AQ187" s="59"/>
    </row>
    <row r="188" spans="37:43" ht="13.2" x14ac:dyDescent="0.25">
      <c r="AK188" s="59"/>
      <c r="AL188" s="59"/>
      <c r="AM188" s="59"/>
      <c r="AN188" s="59"/>
      <c r="AO188" s="59"/>
      <c r="AP188" s="59"/>
      <c r="AQ188" s="59"/>
    </row>
    <row r="189" spans="37:43" ht="13.2" x14ac:dyDescent="0.25">
      <c r="AK189" s="59"/>
      <c r="AL189" s="59"/>
      <c r="AM189" s="59"/>
      <c r="AN189" s="59"/>
      <c r="AO189" s="59"/>
      <c r="AP189" s="59"/>
      <c r="AQ189" s="59"/>
    </row>
    <row r="190" spans="37:43" ht="13.2" x14ac:dyDescent="0.25">
      <c r="AK190" s="59"/>
      <c r="AL190" s="59"/>
      <c r="AM190" s="59"/>
      <c r="AN190" s="59"/>
      <c r="AO190" s="59"/>
      <c r="AP190" s="59"/>
      <c r="AQ190" s="59"/>
    </row>
    <row r="191" spans="37:43" ht="13.2" x14ac:dyDescent="0.25">
      <c r="AK191" s="59"/>
      <c r="AL191" s="59"/>
      <c r="AM191" s="59"/>
      <c r="AN191" s="59"/>
      <c r="AO191" s="59"/>
      <c r="AP191" s="59"/>
      <c r="AQ191" s="59"/>
    </row>
    <row r="192" spans="37:43" ht="13.2" x14ac:dyDescent="0.25">
      <c r="AK192" s="59"/>
      <c r="AL192" s="59"/>
      <c r="AM192" s="59"/>
      <c r="AN192" s="59"/>
      <c r="AO192" s="59"/>
      <c r="AP192" s="59"/>
      <c r="AQ192" s="59"/>
    </row>
    <row r="193" spans="37:43" ht="13.2" x14ac:dyDescent="0.25">
      <c r="AK193" s="59"/>
      <c r="AL193" s="59"/>
      <c r="AM193" s="59"/>
      <c r="AN193" s="59"/>
      <c r="AO193" s="59"/>
      <c r="AP193" s="59"/>
      <c r="AQ193" s="59"/>
    </row>
    <row r="194" spans="37:43" ht="13.2" x14ac:dyDescent="0.25">
      <c r="AK194" s="59"/>
      <c r="AL194" s="59"/>
      <c r="AM194" s="59"/>
      <c r="AN194" s="59"/>
      <c r="AO194" s="59"/>
      <c r="AP194" s="59"/>
      <c r="AQ194" s="59"/>
    </row>
    <row r="195" spans="37:43" ht="13.2" x14ac:dyDescent="0.25">
      <c r="AK195" s="59"/>
      <c r="AL195" s="59"/>
      <c r="AM195" s="59"/>
      <c r="AN195" s="59"/>
      <c r="AO195" s="59"/>
      <c r="AP195" s="59"/>
      <c r="AQ195" s="59"/>
    </row>
    <row r="196" spans="37:43" ht="13.2" x14ac:dyDescent="0.25">
      <c r="AK196" s="59"/>
      <c r="AL196" s="59"/>
      <c r="AM196" s="59"/>
      <c r="AN196" s="59"/>
      <c r="AO196" s="59"/>
      <c r="AP196" s="59"/>
      <c r="AQ196" s="59"/>
    </row>
    <row r="197" spans="37:43" ht="13.2" x14ac:dyDescent="0.25">
      <c r="AK197" s="59"/>
      <c r="AL197" s="59"/>
      <c r="AM197" s="59"/>
      <c r="AN197" s="59"/>
      <c r="AO197" s="59"/>
      <c r="AP197" s="59"/>
      <c r="AQ197" s="59"/>
    </row>
    <row r="198" spans="37:43" ht="13.2" x14ac:dyDescent="0.25">
      <c r="AK198" s="59"/>
      <c r="AL198" s="59"/>
      <c r="AM198" s="59"/>
      <c r="AN198" s="59"/>
      <c r="AO198" s="59"/>
      <c r="AP198" s="59"/>
      <c r="AQ198" s="59"/>
    </row>
    <row r="199" spans="37:43" ht="13.2" x14ac:dyDescent="0.25">
      <c r="AK199" s="59"/>
      <c r="AL199" s="59"/>
      <c r="AM199" s="59"/>
      <c r="AN199" s="59"/>
      <c r="AO199" s="59"/>
      <c r="AP199" s="59"/>
      <c r="AQ199" s="59"/>
    </row>
    <row r="200" spans="37:43" ht="13.2" x14ac:dyDescent="0.25">
      <c r="AK200" s="59"/>
      <c r="AL200" s="59"/>
      <c r="AM200" s="59"/>
      <c r="AN200" s="59"/>
      <c r="AO200" s="59"/>
      <c r="AP200" s="59"/>
      <c r="AQ200" s="59"/>
    </row>
    <row r="201" spans="37:43" ht="13.2" x14ac:dyDescent="0.25">
      <c r="AK201" s="59"/>
      <c r="AL201" s="59"/>
      <c r="AM201" s="59"/>
      <c r="AN201" s="59"/>
      <c r="AO201" s="59"/>
      <c r="AP201" s="59"/>
      <c r="AQ201" s="59"/>
    </row>
    <row r="202" spans="37:43" ht="13.2" x14ac:dyDescent="0.25">
      <c r="AK202" s="59"/>
      <c r="AL202" s="59"/>
      <c r="AM202" s="59"/>
      <c r="AN202" s="59"/>
      <c r="AO202" s="59"/>
      <c r="AP202" s="59"/>
      <c r="AQ202" s="59"/>
    </row>
    <row r="203" spans="37:43" ht="13.2" x14ac:dyDescent="0.25">
      <c r="AK203" s="59"/>
      <c r="AL203" s="59"/>
      <c r="AM203" s="59"/>
      <c r="AN203" s="59"/>
      <c r="AO203" s="59"/>
      <c r="AP203" s="59"/>
      <c r="AQ203" s="59"/>
    </row>
    <row r="204" spans="37:43" ht="13.2" x14ac:dyDescent="0.25">
      <c r="AK204" s="59"/>
      <c r="AL204" s="59"/>
      <c r="AM204" s="59"/>
      <c r="AN204" s="59"/>
      <c r="AO204" s="59"/>
      <c r="AP204" s="59"/>
      <c r="AQ204" s="59"/>
    </row>
    <row r="205" spans="37:43" ht="13.2" x14ac:dyDescent="0.25">
      <c r="AK205" s="59"/>
      <c r="AL205" s="59"/>
      <c r="AM205" s="59"/>
      <c r="AN205" s="59"/>
      <c r="AO205" s="59"/>
      <c r="AP205" s="59"/>
      <c r="AQ205" s="59"/>
    </row>
    <row r="206" spans="37:43" ht="13.2" x14ac:dyDescent="0.25">
      <c r="AK206" s="59"/>
      <c r="AL206" s="59"/>
      <c r="AM206" s="59"/>
      <c r="AN206" s="59"/>
      <c r="AO206" s="59"/>
      <c r="AP206" s="59"/>
      <c r="AQ206" s="59"/>
    </row>
    <row r="207" spans="37:43" ht="13.2" x14ac:dyDescent="0.25">
      <c r="AK207" s="59"/>
      <c r="AL207" s="59"/>
      <c r="AM207" s="59"/>
      <c r="AN207" s="59"/>
      <c r="AO207" s="59"/>
      <c r="AP207" s="59"/>
      <c r="AQ207" s="59"/>
    </row>
    <row r="208" spans="37:43" ht="13.2" x14ac:dyDescent="0.25">
      <c r="AK208" s="59"/>
      <c r="AL208" s="59"/>
      <c r="AM208" s="59"/>
      <c r="AN208" s="59"/>
      <c r="AO208" s="59"/>
      <c r="AP208" s="59"/>
      <c r="AQ208" s="59"/>
    </row>
    <row r="209" spans="37:43" ht="13.2" x14ac:dyDescent="0.25">
      <c r="AK209" s="59"/>
      <c r="AL209" s="59"/>
      <c r="AM209" s="59"/>
      <c r="AN209" s="59"/>
      <c r="AO209" s="59"/>
      <c r="AP209" s="59"/>
      <c r="AQ209" s="59"/>
    </row>
    <row r="210" spans="37:43" ht="13.2" x14ac:dyDescent="0.25">
      <c r="AK210" s="59"/>
      <c r="AL210" s="59"/>
      <c r="AM210" s="59"/>
      <c r="AN210" s="59"/>
      <c r="AO210" s="59"/>
      <c r="AP210" s="59"/>
      <c r="AQ210" s="59"/>
    </row>
    <row r="211" spans="37:43" ht="13.2" x14ac:dyDescent="0.25">
      <c r="AK211" s="59"/>
      <c r="AL211" s="59"/>
      <c r="AM211" s="59"/>
      <c r="AN211" s="59"/>
      <c r="AO211" s="59"/>
      <c r="AP211" s="59"/>
      <c r="AQ211" s="59"/>
    </row>
    <row r="212" spans="37:43" ht="13.2" x14ac:dyDescent="0.25">
      <c r="AK212" s="59"/>
      <c r="AL212" s="59"/>
      <c r="AM212" s="59"/>
      <c r="AN212" s="59"/>
      <c r="AO212" s="59"/>
      <c r="AP212" s="59"/>
      <c r="AQ212" s="59"/>
    </row>
    <row r="213" spans="37:43" ht="13.2" x14ac:dyDescent="0.25">
      <c r="AK213" s="59"/>
      <c r="AL213" s="59"/>
      <c r="AM213" s="59"/>
      <c r="AN213" s="59"/>
      <c r="AO213" s="59"/>
      <c r="AP213" s="59"/>
      <c r="AQ213" s="59"/>
    </row>
    <row r="214" spans="37:43" ht="13.2" x14ac:dyDescent="0.25">
      <c r="AK214" s="59"/>
      <c r="AL214" s="59"/>
      <c r="AM214" s="59"/>
      <c r="AN214" s="59"/>
      <c r="AO214" s="59"/>
      <c r="AP214" s="59"/>
      <c r="AQ214" s="59"/>
    </row>
    <row r="215" spans="37:43" ht="13.2" x14ac:dyDescent="0.25">
      <c r="AK215" s="59"/>
      <c r="AL215" s="59"/>
      <c r="AM215" s="59"/>
      <c r="AN215" s="59"/>
      <c r="AO215" s="59"/>
      <c r="AP215" s="59"/>
      <c r="AQ215" s="59"/>
    </row>
    <row r="216" spans="37:43" ht="13.2" x14ac:dyDescent="0.25">
      <c r="AK216" s="59"/>
      <c r="AL216" s="59"/>
      <c r="AM216" s="59"/>
      <c r="AN216" s="59"/>
      <c r="AO216" s="59"/>
      <c r="AP216" s="59"/>
      <c r="AQ216" s="59"/>
    </row>
    <row r="217" spans="37:43" ht="13.2" x14ac:dyDescent="0.25">
      <c r="AK217" s="59"/>
      <c r="AL217" s="59"/>
      <c r="AM217" s="59"/>
      <c r="AN217" s="59"/>
      <c r="AO217" s="59"/>
      <c r="AP217" s="59"/>
      <c r="AQ217" s="59"/>
    </row>
    <row r="218" spans="37:43" ht="13.2" x14ac:dyDescent="0.25">
      <c r="AK218" s="59"/>
      <c r="AL218" s="59"/>
      <c r="AM218" s="59"/>
      <c r="AN218" s="59"/>
      <c r="AO218" s="59"/>
      <c r="AP218" s="59"/>
      <c r="AQ218" s="59"/>
    </row>
    <row r="219" spans="37:43" ht="13.2" x14ac:dyDescent="0.25">
      <c r="AK219" s="59"/>
      <c r="AL219" s="59"/>
      <c r="AM219" s="59"/>
      <c r="AN219" s="59"/>
      <c r="AO219" s="59"/>
      <c r="AP219" s="59"/>
      <c r="AQ219" s="59"/>
    </row>
    <row r="220" spans="37:43" ht="13.2" x14ac:dyDescent="0.25">
      <c r="AK220" s="59"/>
      <c r="AL220" s="59"/>
      <c r="AM220" s="59"/>
      <c r="AN220" s="59"/>
      <c r="AO220" s="59"/>
      <c r="AP220" s="59"/>
      <c r="AQ220" s="59"/>
    </row>
    <row r="221" spans="37:43" ht="13.2" x14ac:dyDescent="0.25">
      <c r="AK221" s="59"/>
      <c r="AL221" s="59"/>
      <c r="AM221" s="59"/>
      <c r="AN221" s="59"/>
      <c r="AO221" s="59"/>
      <c r="AP221" s="59"/>
      <c r="AQ221" s="59"/>
    </row>
    <row r="222" spans="37:43" ht="13.2" x14ac:dyDescent="0.25">
      <c r="AK222" s="59"/>
      <c r="AL222" s="59"/>
      <c r="AM222" s="59"/>
      <c r="AN222" s="59"/>
      <c r="AO222" s="59"/>
      <c r="AP222" s="59"/>
      <c r="AQ222" s="59"/>
    </row>
    <row r="223" spans="37:43" ht="13.2" x14ac:dyDescent="0.25">
      <c r="AK223" s="59"/>
      <c r="AL223" s="59"/>
      <c r="AM223" s="59"/>
      <c r="AN223" s="59"/>
      <c r="AO223" s="59"/>
      <c r="AP223" s="59"/>
      <c r="AQ223" s="59"/>
    </row>
    <row r="224" spans="37:43" ht="13.2" x14ac:dyDescent="0.25">
      <c r="AK224" s="59"/>
      <c r="AL224" s="59"/>
      <c r="AM224" s="59"/>
      <c r="AN224" s="59"/>
      <c r="AO224" s="59"/>
      <c r="AP224" s="59"/>
      <c r="AQ224" s="59"/>
    </row>
    <row r="225" spans="37:43" ht="13.2" x14ac:dyDescent="0.25">
      <c r="AK225" s="59"/>
      <c r="AL225" s="59"/>
      <c r="AM225" s="59"/>
      <c r="AN225" s="59"/>
      <c r="AO225" s="59"/>
      <c r="AP225" s="59"/>
      <c r="AQ225" s="59"/>
    </row>
    <row r="226" spans="37:43" ht="13.2" x14ac:dyDescent="0.25">
      <c r="AK226" s="59"/>
      <c r="AL226" s="59"/>
      <c r="AM226" s="59"/>
      <c r="AN226" s="59"/>
      <c r="AO226" s="59"/>
      <c r="AP226" s="59"/>
      <c r="AQ226" s="59"/>
    </row>
    <row r="227" spans="37:43" ht="13.2" x14ac:dyDescent="0.25">
      <c r="AK227" s="59"/>
      <c r="AL227" s="59"/>
      <c r="AM227" s="59"/>
      <c r="AN227" s="59"/>
      <c r="AO227" s="59"/>
      <c r="AP227" s="59"/>
      <c r="AQ227" s="59"/>
    </row>
    <row r="228" spans="37:43" ht="13.2" x14ac:dyDescent="0.25">
      <c r="AK228" s="59"/>
      <c r="AL228" s="59"/>
      <c r="AM228" s="59"/>
      <c r="AN228" s="59"/>
      <c r="AO228" s="59"/>
      <c r="AP228" s="59"/>
      <c r="AQ228" s="59"/>
    </row>
    <row r="229" spans="37:43" ht="13.2" x14ac:dyDescent="0.25">
      <c r="AK229" s="59"/>
      <c r="AL229" s="59"/>
      <c r="AM229" s="59"/>
      <c r="AN229" s="59"/>
      <c r="AO229" s="59"/>
      <c r="AP229" s="59"/>
      <c r="AQ229" s="59"/>
    </row>
    <row r="230" spans="37:43" ht="13.2" x14ac:dyDescent="0.25">
      <c r="AK230" s="59"/>
      <c r="AL230" s="59"/>
      <c r="AM230" s="59"/>
      <c r="AN230" s="59"/>
      <c r="AO230" s="59"/>
      <c r="AP230" s="59"/>
      <c r="AQ230" s="59"/>
    </row>
    <row r="231" spans="37:43" ht="13.2" x14ac:dyDescent="0.25">
      <c r="AK231" s="59"/>
      <c r="AL231" s="59"/>
      <c r="AM231" s="59"/>
      <c r="AN231" s="59"/>
      <c r="AO231" s="59"/>
      <c r="AP231" s="59"/>
      <c r="AQ231" s="59"/>
    </row>
    <row r="232" spans="37:43" ht="13.2" x14ac:dyDescent="0.25">
      <c r="AK232" s="59"/>
      <c r="AL232" s="59"/>
      <c r="AM232" s="59"/>
      <c r="AN232" s="59"/>
      <c r="AO232" s="59"/>
      <c r="AP232" s="59"/>
      <c r="AQ232" s="59"/>
    </row>
    <row r="233" spans="37:43" ht="13.2" x14ac:dyDescent="0.25">
      <c r="AK233" s="59"/>
      <c r="AL233" s="59"/>
      <c r="AM233" s="59"/>
      <c r="AN233" s="59"/>
      <c r="AO233" s="59"/>
      <c r="AP233" s="59"/>
      <c r="AQ233" s="59"/>
    </row>
    <row r="234" spans="37:43" ht="13.2" x14ac:dyDescent="0.25">
      <c r="AK234" s="59"/>
      <c r="AL234" s="59"/>
      <c r="AM234" s="59"/>
      <c r="AN234" s="59"/>
      <c r="AO234" s="59"/>
      <c r="AP234" s="59"/>
      <c r="AQ234" s="59"/>
    </row>
    <row r="235" spans="37:43" ht="13.2" x14ac:dyDescent="0.25">
      <c r="AK235" s="59"/>
      <c r="AL235" s="59"/>
      <c r="AM235" s="59"/>
      <c r="AN235" s="59"/>
      <c r="AO235" s="59"/>
      <c r="AP235" s="59"/>
      <c r="AQ235" s="59"/>
    </row>
    <row r="236" spans="37:43" ht="13.2" x14ac:dyDescent="0.25">
      <c r="AK236" s="59"/>
      <c r="AL236" s="59"/>
      <c r="AM236" s="59"/>
      <c r="AN236" s="59"/>
      <c r="AO236" s="59"/>
      <c r="AP236" s="59"/>
      <c r="AQ236" s="59"/>
    </row>
    <row r="237" spans="37:43" ht="13.2" x14ac:dyDescent="0.25">
      <c r="AK237" s="59"/>
      <c r="AL237" s="59"/>
      <c r="AM237" s="59"/>
      <c r="AN237" s="59"/>
      <c r="AO237" s="59"/>
      <c r="AP237" s="59"/>
      <c r="AQ237" s="59"/>
    </row>
    <row r="238" spans="37:43" ht="13.2" x14ac:dyDescent="0.25">
      <c r="AK238" s="59"/>
      <c r="AL238" s="59"/>
      <c r="AM238" s="59"/>
      <c r="AN238" s="59"/>
      <c r="AO238" s="59"/>
      <c r="AP238" s="59"/>
      <c r="AQ238" s="59"/>
    </row>
    <row r="239" spans="37:43" ht="13.2" x14ac:dyDescent="0.25">
      <c r="AK239" s="59"/>
      <c r="AL239" s="59"/>
      <c r="AM239" s="59"/>
      <c r="AN239" s="59"/>
      <c r="AO239" s="59"/>
      <c r="AP239" s="59"/>
      <c r="AQ239" s="59"/>
    </row>
    <row r="240" spans="37:43" ht="13.2" x14ac:dyDescent="0.25">
      <c r="AK240" s="59"/>
      <c r="AL240" s="59"/>
      <c r="AM240" s="59"/>
      <c r="AN240" s="59"/>
      <c r="AO240" s="59"/>
      <c r="AP240" s="59"/>
      <c r="AQ240" s="59"/>
    </row>
    <row r="241" spans="37:43" ht="13.2" x14ac:dyDescent="0.25">
      <c r="AK241" s="59"/>
      <c r="AL241" s="59"/>
      <c r="AM241" s="59"/>
      <c r="AN241" s="59"/>
      <c r="AO241" s="59"/>
      <c r="AP241" s="59"/>
      <c r="AQ241" s="59"/>
    </row>
    <row r="242" spans="37:43" ht="13.2" x14ac:dyDescent="0.25">
      <c r="AK242" s="59"/>
      <c r="AL242" s="59"/>
      <c r="AM242" s="59"/>
      <c r="AN242" s="59"/>
      <c r="AO242" s="59"/>
      <c r="AP242" s="59"/>
      <c r="AQ242" s="59"/>
    </row>
    <row r="243" spans="37:43" ht="13.2" x14ac:dyDescent="0.25">
      <c r="AK243" s="59"/>
      <c r="AL243" s="59"/>
      <c r="AM243" s="59"/>
      <c r="AN243" s="59"/>
      <c r="AO243" s="59"/>
      <c r="AP243" s="59"/>
      <c r="AQ243" s="59"/>
    </row>
    <row r="244" spans="37:43" ht="13.2" x14ac:dyDescent="0.25">
      <c r="AK244" s="59"/>
      <c r="AL244" s="59"/>
      <c r="AM244" s="59"/>
      <c r="AN244" s="59"/>
      <c r="AO244" s="59"/>
      <c r="AP244" s="59"/>
      <c r="AQ244" s="59"/>
    </row>
    <row r="245" spans="37:43" ht="13.2" x14ac:dyDescent="0.25">
      <c r="AK245" s="59"/>
      <c r="AL245" s="59"/>
      <c r="AM245" s="59"/>
      <c r="AN245" s="59"/>
      <c r="AO245" s="59"/>
      <c r="AP245" s="59"/>
      <c r="AQ245" s="59"/>
    </row>
    <row r="246" spans="37:43" ht="13.2" x14ac:dyDescent="0.25">
      <c r="AK246" s="59"/>
      <c r="AL246" s="59"/>
      <c r="AM246" s="59"/>
      <c r="AN246" s="59"/>
      <c r="AO246" s="59"/>
      <c r="AP246" s="59"/>
      <c r="AQ246" s="59"/>
    </row>
    <row r="247" spans="37:43" ht="13.2" x14ac:dyDescent="0.25">
      <c r="AK247" s="59"/>
      <c r="AL247" s="59"/>
      <c r="AM247" s="59"/>
      <c r="AN247" s="59"/>
      <c r="AO247" s="59"/>
      <c r="AP247" s="59"/>
      <c r="AQ247" s="59"/>
    </row>
    <row r="248" spans="37:43" ht="13.2" x14ac:dyDescent="0.25">
      <c r="AK248" s="59"/>
      <c r="AL248" s="59"/>
      <c r="AM248" s="59"/>
      <c r="AN248" s="59"/>
      <c r="AO248" s="59"/>
      <c r="AP248" s="59"/>
      <c r="AQ248" s="59"/>
    </row>
    <row r="249" spans="37:43" ht="13.2" x14ac:dyDescent="0.25">
      <c r="AK249" s="59"/>
      <c r="AL249" s="59"/>
      <c r="AM249" s="59"/>
      <c r="AN249" s="59"/>
      <c r="AO249" s="59"/>
      <c r="AP249" s="59"/>
      <c r="AQ249" s="59"/>
    </row>
    <row r="250" spans="37:43" ht="13.2" x14ac:dyDescent="0.25">
      <c r="AK250" s="59"/>
      <c r="AL250" s="59"/>
      <c r="AM250" s="59"/>
      <c r="AN250" s="59"/>
      <c r="AO250" s="59"/>
      <c r="AP250" s="59"/>
      <c r="AQ250" s="59"/>
    </row>
    <row r="251" spans="37:43" ht="13.2" x14ac:dyDescent="0.25">
      <c r="AK251" s="59"/>
      <c r="AL251" s="59"/>
      <c r="AM251" s="59"/>
      <c r="AN251" s="59"/>
      <c r="AO251" s="59"/>
      <c r="AP251" s="59"/>
      <c r="AQ251" s="59"/>
    </row>
    <row r="252" spans="37:43" ht="13.2" x14ac:dyDescent="0.25">
      <c r="AK252" s="59"/>
      <c r="AL252" s="59"/>
      <c r="AM252" s="59"/>
      <c r="AN252" s="59"/>
      <c r="AO252" s="59"/>
      <c r="AP252" s="59"/>
      <c r="AQ252" s="59"/>
    </row>
    <row r="253" spans="37:43" ht="13.2" x14ac:dyDescent="0.25">
      <c r="AK253" s="59"/>
      <c r="AL253" s="59"/>
      <c r="AM253" s="59"/>
      <c r="AN253" s="59"/>
      <c r="AO253" s="59"/>
      <c r="AP253" s="59"/>
      <c r="AQ253" s="59"/>
    </row>
    <row r="254" spans="37:43" ht="13.2" x14ac:dyDescent="0.25">
      <c r="AK254" s="59"/>
      <c r="AL254" s="59"/>
      <c r="AM254" s="59"/>
      <c r="AN254" s="59"/>
      <c r="AO254" s="59"/>
      <c r="AP254" s="59"/>
      <c r="AQ254" s="59"/>
    </row>
    <row r="255" spans="37:43" ht="13.2" x14ac:dyDescent="0.25">
      <c r="AK255" s="59"/>
      <c r="AL255" s="59"/>
      <c r="AM255" s="59"/>
      <c r="AN255" s="59"/>
      <c r="AO255" s="59"/>
      <c r="AP255" s="59"/>
      <c r="AQ255" s="59"/>
    </row>
    <row r="256" spans="37:43" ht="13.2" x14ac:dyDescent="0.25">
      <c r="AK256" s="59"/>
      <c r="AL256" s="59"/>
      <c r="AM256" s="59"/>
      <c r="AN256" s="59"/>
      <c r="AO256" s="59"/>
      <c r="AP256" s="59"/>
      <c r="AQ256" s="59"/>
    </row>
    <row r="257" spans="37:43" ht="13.2" x14ac:dyDescent="0.25">
      <c r="AK257" s="59"/>
      <c r="AL257" s="59"/>
      <c r="AM257" s="59"/>
      <c r="AN257" s="59"/>
      <c r="AO257" s="59"/>
      <c r="AP257" s="59"/>
      <c r="AQ257" s="59"/>
    </row>
    <row r="258" spans="37:43" ht="13.2" x14ac:dyDescent="0.25">
      <c r="AK258" s="59"/>
      <c r="AL258" s="59"/>
      <c r="AM258" s="59"/>
      <c r="AN258" s="59"/>
      <c r="AO258" s="59"/>
      <c r="AP258" s="59"/>
      <c r="AQ258" s="59"/>
    </row>
    <row r="259" spans="37:43" ht="13.2" x14ac:dyDescent="0.25">
      <c r="AK259" s="59"/>
      <c r="AL259" s="59"/>
      <c r="AM259" s="59"/>
      <c r="AN259" s="59"/>
      <c r="AO259" s="59"/>
      <c r="AP259" s="59"/>
      <c r="AQ259" s="59"/>
    </row>
    <row r="260" spans="37:43" ht="13.2" x14ac:dyDescent="0.25">
      <c r="AK260" s="59"/>
      <c r="AL260" s="59"/>
      <c r="AM260" s="59"/>
      <c r="AN260" s="59"/>
      <c r="AO260" s="59"/>
      <c r="AP260" s="59"/>
      <c r="AQ260" s="59"/>
    </row>
    <row r="261" spans="37:43" ht="13.2" x14ac:dyDescent="0.25">
      <c r="AK261" s="59"/>
      <c r="AL261" s="59"/>
      <c r="AM261" s="59"/>
      <c r="AN261" s="59"/>
      <c r="AO261" s="59"/>
      <c r="AP261" s="59"/>
      <c r="AQ261" s="59"/>
    </row>
    <row r="262" spans="37:43" ht="13.2" x14ac:dyDescent="0.25">
      <c r="AK262" s="59"/>
      <c r="AL262" s="59"/>
      <c r="AM262" s="59"/>
      <c r="AN262" s="59"/>
      <c r="AO262" s="59"/>
      <c r="AP262" s="59"/>
      <c r="AQ262" s="59"/>
    </row>
    <row r="263" spans="37:43" ht="13.2" x14ac:dyDescent="0.25">
      <c r="AK263" s="59"/>
      <c r="AL263" s="59"/>
      <c r="AM263" s="59"/>
      <c r="AN263" s="59"/>
      <c r="AO263" s="59"/>
      <c r="AP263" s="59"/>
      <c r="AQ263" s="59"/>
    </row>
    <row r="264" spans="37:43" ht="13.2" x14ac:dyDescent="0.25">
      <c r="AK264" s="59"/>
      <c r="AL264" s="59"/>
      <c r="AM264" s="59"/>
      <c r="AN264" s="59"/>
      <c r="AO264" s="59"/>
      <c r="AP264" s="59"/>
      <c r="AQ264" s="59"/>
    </row>
    <row r="265" spans="37:43" ht="13.2" x14ac:dyDescent="0.25">
      <c r="AK265" s="59"/>
      <c r="AL265" s="59"/>
      <c r="AM265" s="59"/>
      <c r="AN265" s="59"/>
      <c r="AO265" s="59"/>
      <c r="AP265" s="59"/>
      <c r="AQ265" s="59"/>
    </row>
    <row r="266" spans="37:43" ht="13.2" x14ac:dyDescent="0.25">
      <c r="AK266" s="59"/>
      <c r="AL266" s="59"/>
      <c r="AM266" s="59"/>
      <c r="AN266" s="59"/>
      <c r="AO266" s="59"/>
      <c r="AP266" s="59"/>
      <c r="AQ266" s="59"/>
    </row>
    <row r="267" spans="37:43" ht="13.2" x14ac:dyDescent="0.25">
      <c r="AK267" s="59"/>
      <c r="AL267" s="59"/>
      <c r="AM267" s="59"/>
      <c r="AN267" s="59"/>
      <c r="AO267" s="59"/>
      <c r="AP267" s="59"/>
      <c r="AQ267" s="59"/>
    </row>
    <row r="268" spans="37:43" ht="13.2" x14ac:dyDescent="0.25">
      <c r="AK268" s="59"/>
      <c r="AL268" s="59"/>
      <c r="AM268" s="59"/>
      <c r="AN268" s="59"/>
      <c r="AO268" s="59"/>
      <c r="AP268" s="59"/>
      <c r="AQ268" s="59"/>
    </row>
    <row r="269" spans="37:43" ht="13.2" x14ac:dyDescent="0.25">
      <c r="AK269" s="59"/>
      <c r="AL269" s="59"/>
      <c r="AM269" s="59"/>
      <c r="AN269" s="59"/>
      <c r="AO269" s="59"/>
      <c r="AP269" s="59"/>
      <c r="AQ269" s="59"/>
    </row>
    <row r="270" spans="37:43" ht="13.2" x14ac:dyDescent="0.25">
      <c r="AK270" s="59"/>
      <c r="AL270" s="59"/>
      <c r="AM270" s="59"/>
      <c r="AN270" s="59"/>
      <c r="AO270" s="59"/>
      <c r="AP270" s="59"/>
      <c r="AQ270" s="59"/>
    </row>
    <row r="271" spans="37:43" ht="13.2" x14ac:dyDescent="0.25">
      <c r="AK271" s="59"/>
      <c r="AL271" s="59"/>
      <c r="AM271" s="59"/>
      <c r="AN271" s="59"/>
      <c r="AO271" s="59"/>
      <c r="AP271" s="59"/>
      <c r="AQ271" s="59"/>
    </row>
    <row r="272" spans="37:43" ht="13.2" x14ac:dyDescent="0.25">
      <c r="AK272" s="59"/>
      <c r="AL272" s="59"/>
      <c r="AM272" s="59"/>
      <c r="AN272" s="59"/>
      <c r="AO272" s="59"/>
      <c r="AP272" s="59"/>
      <c r="AQ272" s="59"/>
    </row>
    <row r="273" spans="37:43" ht="13.2" x14ac:dyDescent="0.25">
      <c r="AK273" s="59"/>
      <c r="AL273" s="59"/>
      <c r="AM273" s="59"/>
      <c r="AN273" s="59"/>
      <c r="AO273" s="59"/>
      <c r="AP273" s="59"/>
      <c r="AQ273" s="59"/>
    </row>
    <row r="274" spans="37:43" ht="13.2" x14ac:dyDescent="0.25">
      <c r="AK274" s="59"/>
      <c r="AL274" s="59"/>
      <c r="AM274" s="59"/>
      <c r="AN274" s="59"/>
      <c r="AO274" s="59"/>
      <c r="AP274" s="59"/>
      <c r="AQ274" s="59"/>
    </row>
    <row r="275" spans="37:43" ht="13.2" x14ac:dyDescent="0.25">
      <c r="AK275" s="59"/>
      <c r="AL275" s="59"/>
      <c r="AM275" s="59"/>
      <c r="AN275" s="59"/>
      <c r="AO275" s="59"/>
      <c r="AP275" s="59"/>
      <c r="AQ275" s="59"/>
    </row>
    <row r="276" spans="37:43" ht="13.2" x14ac:dyDescent="0.25">
      <c r="AK276" s="59"/>
      <c r="AL276" s="59"/>
      <c r="AM276" s="59"/>
      <c r="AN276" s="59"/>
      <c r="AO276" s="59"/>
      <c r="AP276" s="59"/>
      <c r="AQ276" s="59"/>
    </row>
    <row r="277" spans="37:43" ht="13.2" x14ac:dyDescent="0.25">
      <c r="AK277" s="59"/>
      <c r="AL277" s="59"/>
      <c r="AM277" s="59"/>
      <c r="AN277" s="59"/>
      <c r="AO277" s="59"/>
      <c r="AP277" s="59"/>
      <c r="AQ277" s="59"/>
    </row>
    <row r="278" spans="37:43" ht="13.2" x14ac:dyDescent="0.25">
      <c r="AK278" s="59"/>
      <c r="AL278" s="59"/>
      <c r="AM278" s="59"/>
      <c r="AN278" s="59"/>
      <c r="AO278" s="59"/>
      <c r="AP278" s="59"/>
      <c r="AQ278" s="59"/>
    </row>
    <row r="279" spans="37:43" ht="13.2" x14ac:dyDescent="0.25">
      <c r="AK279" s="59"/>
      <c r="AL279" s="59"/>
      <c r="AM279" s="59"/>
      <c r="AN279" s="59"/>
      <c r="AO279" s="59"/>
      <c r="AP279" s="59"/>
      <c r="AQ279" s="59"/>
    </row>
    <row r="280" spans="37:43" ht="13.2" x14ac:dyDescent="0.25">
      <c r="AK280" s="59"/>
      <c r="AL280" s="59"/>
      <c r="AM280" s="59"/>
      <c r="AN280" s="59"/>
      <c r="AO280" s="59"/>
      <c r="AP280" s="59"/>
      <c r="AQ280" s="59"/>
    </row>
    <row r="281" spans="37:43" ht="13.2" x14ac:dyDescent="0.25">
      <c r="AK281" s="59"/>
      <c r="AL281" s="59"/>
      <c r="AM281" s="59"/>
      <c r="AN281" s="59"/>
      <c r="AO281" s="59"/>
      <c r="AP281" s="59"/>
      <c r="AQ281" s="59"/>
    </row>
    <row r="282" spans="37:43" ht="13.2" x14ac:dyDescent="0.25">
      <c r="AK282" s="59"/>
      <c r="AL282" s="59"/>
      <c r="AM282" s="59"/>
      <c r="AN282" s="59"/>
      <c r="AO282" s="59"/>
      <c r="AP282" s="59"/>
      <c r="AQ282" s="59"/>
    </row>
    <row r="283" spans="37:43" ht="13.2" x14ac:dyDescent="0.25">
      <c r="AK283" s="59"/>
      <c r="AL283" s="59"/>
      <c r="AM283" s="59"/>
      <c r="AN283" s="59"/>
      <c r="AO283" s="59"/>
      <c r="AP283" s="59"/>
      <c r="AQ283" s="59"/>
    </row>
    <row r="284" spans="37:43" ht="13.2" x14ac:dyDescent="0.25">
      <c r="AK284" s="59"/>
      <c r="AL284" s="59"/>
      <c r="AM284" s="59"/>
      <c r="AN284" s="59"/>
      <c r="AO284" s="59"/>
      <c r="AP284" s="59"/>
      <c r="AQ284" s="59"/>
    </row>
    <row r="285" spans="37:43" ht="13.2" x14ac:dyDescent="0.25">
      <c r="AK285" s="59"/>
      <c r="AL285" s="59"/>
      <c r="AM285" s="59"/>
      <c r="AN285" s="59"/>
      <c r="AO285" s="59"/>
      <c r="AP285" s="59"/>
      <c r="AQ285" s="59"/>
    </row>
    <row r="286" spans="37:43" ht="13.2" x14ac:dyDescent="0.25">
      <c r="AK286" s="59"/>
      <c r="AL286" s="59"/>
      <c r="AM286" s="59"/>
      <c r="AN286" s="59"/>
      <c r="AO286" s="59"/>
      <c r="AP286" s="59"/>
      <c r="AQ286" s="59"/>
    </row>
    <row r="287" spans="37:43" ht="13.2" x14ac:dyDescent="0.25">
      <c r="AK287" s="59"/>
      <c r="AL287" s="59"/>
      <c r="AM287" s="59"/>
      <c r="AN287" s="59"/>
      <c r="AO287" s="59"/>
      <c r="AP287" s="59"/>
      <c r="AQ287" s="59"/>
    </row>
    <row r="288" spans="37:43" ht="13.2" x14ac:dyDescent="0.25">
      <c r="AK288" s="59"/>
      <c r="AL288" s="59"/>
      <c r="AM288" s="59"/>
      <c r="AN288" s="59"/>
      <c r="AO288" s="59"/>
      <c r="AP288" s="59"/>
      <c r="AQ288" s="59"/>
    </row>
    <row r="289" spans="37:43" ht="13.2" x14ac:dyDescent="0.25">
      <c r="AK289" s="59"/>
      <c r="AL289" s="59"/>
      <c r="AM289" s="59"/>
      <c r="AN289" s="59"/>
      <c r="AO289" s="59"/>
      <c r="AP289" s="59"/>
      <c r="AQ289" s="59"/>
    </row>
    <row r="290" spans="37:43" ht="13.2" x14ac:dyDescent="0.25">
      <c r="AK290" s="59"/>
      <c r="AL290" s="59"/>
      <c r="AM290" s="59"/>
      <c r="AN290" s="59"/>
      <c r="AO290" s="59"/>
      <c r="AP290" s="59"/>
      <c r="AQ290" s="59"/>
    </row>
    <row r="291" spans="37:43" ht="13.2" x14ac:dyDescent="0.25">
      <c r="AK291" s="59"/>
      <c r="AL291" s="59"/>
      <c r="AM291" s="59"/>
      <c r="AN291" s="59"/>
      <c r="AO291" s="59"/>
      <c r="AP291" s="59"/>
      <c r="AQ291" s="59"/>
    </row>
    <row r="292" spans="37:43" ht="13.2" x14ac:dyDescent="0.25">
      <c r="AK292" s="59"/>
      <c r="AL292" s="59"/>
      <c r="AM292" s="59"/>
      <c r="AN292" s="59"/>
      <c r="AO292" s="59"/>
      <c r="AP292" s="59"/>
      <c r="AQ292" s="59"/>
    </row>
    <row r="293" spans="37:43" ht="13.2" x14ac:dyDescent="0.25">
      <c r="AK293" s="59"/>
      <c r="AL293" s="59"/>
      <c r="AM293" s="59"/>
      <c r="AN293" s="59"/>
      <c r="AO293" s="59"/>
      <c r="AP293" s="59"/>
      <c r="AQ293" s="59"/>
    </row>
    <row r="294" spans="37:43" ht="13.2" x14ac:dyDescent="0.25">
      <c r="AK294" s="59"/>
      <c r="AL294" s="59"/>
      <c r="AM294" s="59"/>
      <c r="AN294" s="59"/>
      <c r="AO294" s="59"/>
      <c r="AP294" s="59"/>
      <c r="AQ294" s="59"/>
    </row>
    <row r="295" spans="37:43" ht="13.2" x14ac:dyDescent="0.25">
      <c r="AK295" s="59"/>
      <c r="AL295" s="59"/>
      <c r="AM295" s="59"/>
      <c r="AN295" s="59"/>
      <c r="AO295" s="59"/>
      <c r="AP295" s="59"/>
      <c r="AQ295" s="59"/>
    </row>
    <row r="296" spans="37:43" ht="13.2" x14ac:dyDescent="0.25">
      <c r="AK296" s="59"/>
      <c r="AL296" s="59"/>
      <c r="AM296" s="59"/>
      <c r="AN296" s="59"/>
      <c r="AO296" s="59"/>
      <c r="AP296" s="59"/>
      <c r="AQ296" s="59"/>
    </row>
    <row r="297" spans="37:43" ht="13.2" x14ac:dyDescent="0.25">
      <c r="AK297" s="59"/>
      <c r="AL297" s="59"/>
      <c r="AM297" s="59"/>
      <c r="AN297" s="59"/>
      <c r="AO297" s="59"/>
      <c r="AP297" s="59"/>
      <c r="AQ297" s="59"/>
    </row>
    <row r="298" spans="37:43" ht="13.2" x14ac:dyDescent="0.25">
      <c r="AK298" s="59"/>
      <c r="AL298" s="59"/>
      <c r="AM298" s="59"/>
      <c r="AN298" s="59"/>
      <c r="AO298" s="59"/>
      <c r="AP298" s="59"/>
      <c r="AQ298" s="59"/>
    </row>
    <row r="299" spans="37:43" ht="13.2" x14ac:dyDescent="0.25">
      <c r="AK299" s="59"/>
      <c r="AL299" s="59"/>
      <c r="AM299" s="59"/>
      <c r="AN299" s="59"/>
      <c r="AO299" s="59"/>
      <c r="AP299" s="59"/>
      <c r="AQ299" s="59"/>
    </row>
    <row r="300" spans="37:43" ht="13.2" x14ac:dyDescent="0.25">
      <c r="AK300" s="59"/>
      <c r="AL300" s="59"/>
      <c r="AM300" s="59"/>
      <c r="AN300" s="59"/>
      <c r="AO300" s="59"/>
      <c r="AP300" s="59"/>
      <c r="AQ300" s="59"/>
    </row>
    <row r="301" spans="37:43" ht="13.2" x14ac:dyDescent="0.25">
      <c r="AK301" s="59"/>
      <c r="AL301" s="59"/>
      <c r="AM301" s="59"/>
      <c r="AN301" s="59"/>
      <c r="AO301" s="59"/>
      <c r="AP301" s="59"/>
      <c r="AQ301" s="59"/>
    </row>
    <row r="302" spans="37:43" ht="13.2" x14ac:dyDescent="0.25">
      <c r="AK302" s="59"/>
      <c r="AL302" s="59"/>
      <c r="AM302" s="59"/>
      <c r="AN302" s="59"/>
      <c r="AO302" s="59"/>
      <c r="AP302" s="59"/>
      <c r="AQ302" s="59"/>
    </row>
    <row r="303" spans="37:43" ht="13.2" x14ac:dyDescent="0.25">
      <c r="AK303" s="59"/>
      <c r="AL303" s="59"/>
      <c r="AM303" s="59"/>
      <c r="AN303" s="59"/>
      <c r="AO303" s="59"/>
      <c r="AP303" s="59"/>
      <c r="AQ303" s="59"/>
    </row>
    <row r="304" spans="37:43" ht="13.2" x14ac:dyDescent="0.25">
      <c r="AK304" s="59"/>
      <c r="AL304" s="59"/>
      <c r="AM304" s="59"/>
      <c r="AN304" s="59"/>
      <c r="AO304" s="59"/>
      <c r="AP304" s="59"/>
      <c r="AQ304" s="59"/>
    </row>
    <row r="305" spans="37:43" ht="13.2" x14ac:dyDescent="0.25">
      <c r="AK305" s="59"/>
      <c r="AL305" s="59"/>
      <c r="AM305" s="59"/>
      <c r="AN305" s="59"/>
      <c r="AO305" s="59"/>
      <c r="AP305" s="59"/>
      <c r="AQ305" s="59"/>
    </row>
    <row r="306" spans="37:43" ht="13.2" x14ac:dyDescent="0.25">
      <c r="AK306" s="59"/>
      <c r="AL306" s="59"/>
      <c r="AM306" s="59"/>
      <c r="AN306" s="59"/>
      <c r="AO306" s="59"/>
      <c r="AP306" s="59"/>
      <c r="AQ306" s="59"/>
    </row>
    <row r="307" spans="37:43" ht="13.2" x14ac:dyDescent="0.25">
      <c r="AK307" s="59"/>
      <c r="AL307" s="59"/>
      <c r="AM307" s="59"/>
      <c r="AN307" s="59"/>
      <c r="AO307" s="59"/>
      <c r="AP307" s="59"/>
      <c r="AQ307" s="59"/>
    </row>
    <row r="308" spans="37:43" ht="13.2" x14ac:dyDescent="0.25">
      <c r="AK308" s="59"/>
      <c r="AL308" s="59"/>
      <c r="AM308" s="59"/>
      <c r="AN308" s="59"/>
      <c r="AO308" s="59"/>
      <c r="AP308" s="59"/>
      <c r="AQ308" s="59"/>
    </row>
    <row r="309" spans="37:43" ht="13.2" x14ac:dyDescent="0.25">
      <c r="AK309" s="59"/>
      <c r="AL309" s="59"/>
      <c r="AM309" s="59"/>
      <c r="AN309" s="59"/>
      <c r="AO309" s="59"/>
      <c r="AP309" s="59"/>
      <c r="AQ309" s="59"/>
    </row>
    <row r="310" spans="37:43" ht="13.2" x14ac:dyDescent="0.25">
      <c r="AK310" s="59"/>
      <c r="AL310" s="59"/>
      <c r="AM310" s="59"/>
      <c r="AN310" s="59"/>
      <c r="AO310" s="59"/>
      <c r="AP310" s="59"/>
      <c r="AQ310" s="59"/>
    </row>
    <row r="311" spans="37:43" ht="13.2" x14ac:dyDescent="0.25">
      <c r="AK311" s="59"/>
      <c r="AL311" s="59"/>
      <c r="AM311" s="59"/>
      <c r="AN311" s="59"/>
      <c r="AO311" s="59"/>
      <c r="AP311" s="59"/>
      <c r="AQ311" s="59"/>
    </row>
    <row r="312" spans="37:43" ht="13.2" x14ac:dyDescent="0.25">
      <c r="AK312" s="59"/>
      <c r="AL312" s="59"/>
      <c r="AM312" s="59"/>
      <c r="AN312" s="59"/>
      <c r="AO312" s="59"/>
      <c r="AP312" s="59"/>
      <c r="AQ312" s="59"/>
    </row>
    <row r="313" spans="37:43" ht="13.2" x14ac:dyDescent="0.25">
      <c r="AK313" s="59"/>
      <c r="AL313" s="59"/>
      <c r="AM313" s="59"/>
      <c r="AN313" s="59"/>
      <c r="AO313" s="59"/>
      <c r="AP313" s="59"/>
      <c r="AQ313" s="59"/>
    </row>
    <row r="314" spans="37:43" ht="13.2" x14ac:dyDescent="0.25">
      <c r="AK314" s="59"/>
      <c r="AL314" s="59"/>
      <c r="AM314" s="59"/>
      <c r="AN314" s="59"/>
      <c r="AO314" s="59"/>
      <c r="AP314" s="59"/>
      <c r="AQ314" s="59"/>
    </row>
    <row r="315" spans="37:43" ht="13.2" x14ac:dyDescent="0.25">
      <c r="AK315" s="59"/>
      <c r="AL315" s="59"/>
      <c r="AM315" s="59"/>
      <c r="AN315" s="59"/>
      <c r="AO315" s="59"/>
      <c r="AP315" s="59"/>
      <c r="AQ315" s="59"/>
    </row>
    <row r="316" spans="37:43" ht="13.2" x14ac:dyDescent="0.25">
      <c r="AK316" s="59"/>
      <c r="AL316" s="59"/>
      <c r="AM316" s="59"/>
      <c r="AN316" s="59"/>
      <c r="AO316" s="59"/>
      <c r="AP316" s="59"/>
      <c r="AQ316" s="59"/>
    </row>
    <row r="317" spans="37:43" ht="13.2" x14ac:dyDescent="0.25">
      <c r="AK317" s="59"/>
      <c r="AL317" s="59"/>
      <c r="AM317" s="59"/>
      <c r="AN317" s="59"/>
      <c r="AO317" s="59"/>
      <c r="AP317" s="59"/>
      <c r="AQ317" s="59"/>
    </row>
    <row r="318" spans="37:43" ht="13.2" x14ac:dyDescent="0.25">
      <c r="AK318" s="59"/>
      <c r="AL318" s="59"/>
      <c r="AM318" s="59"/>
      <c r="AN318" s="59"/>
      <c r="AO318" s="59"/>
      <c r="AP318" s="59"/>
      <c r="AQ318" s="59"/>
    </row>
    <row r="319" spans="37:43" ht="13.2" x14ac:dyDescent="0.25">
      <c r="AK319" s="59"/>
      <c r="AL319" s="59"/>
      <c r="AM319" s="59"/>
      <c r="AN319" s="59"/>
      <c r="AO319" s="59"/>
      <c r="AP319" s="59"/>
      <c r="AQ319" s="59"/>
    </row>
    <row r="320" spans="37:43" ht="13.2" x14ac:dyDescent="0.25">
      <c r="AK320" s="59"/>
      <c r="AL320" s="59"/>
      <c r="AM320" s="59"/>
      <c r="AN320" s="59"/>
      <c r="AO320" s="59"/>
      <c r="AP320" s="59"/>
      <c r="AQ320" s="59"/>
    </row>
    <row r="321" spans="37:43" ht="13.2" x14ac:dyDescent="0.25">
      <c r="AK321" s="59"/>
      <c r="AL321" s="59"/>
      <c r="AM321" s="59"/>
      <c r="AN321" s="59"/>
      <c r="AO321" s="59"/>
      <c r="AP321" s="59"/>
      <c r="AQ321" s="59"/>
    </row>
    <row r="322" spans="37:43" ht="13.2" x14ac:dyDescent="0.25">
      <c r="AK322" s="59"/>
      <c r="AL322" s="59"/>
      <c r="AM322" s="59"/>
      <c r="AN322" s="59"/>
      <c r="AO322" s="59"/>
      <c r="AP322" s="59"/>
      <c r="AQ322" s="59"/>
    </row>
    <row r="323" spans="37:43" ht="13.2" x14ac:dyDescent="0.25">
      <c r="AK323" s="59"/>
      <c r="AL323" s="59"/>
      <c r="AM323" s="59"/>
      <c r="AN323" s="59"/>
      <c r="AO323" s="59"/>
      <c r="AP323" s="59"/>
      <c r="AQ323" s="59"/>
    </row>
    <row r="324" spans="37:43" ht="13.2" x14ac:dyDescent="0.25">
      <c r="AK324" s="59"/>
      <c r="AL324" s="59"/>
      <c r="AM324" s="59"/>
      <c r="AN324" s="59"/>
      <c r="AO324" s="59"/>
      <c r="AP324" s="59"/>
      <c r="AQ324" s="59"/>
    </row>
    <row r="325" spans="37:43" ht="13.2" x14ac:dyDescent="0.25">
      <c r="AK325" s="59"/>
      <c r="AL325" s="59"/>
      <c r="AM325" s="59"/>
      <c r="AN325" s="59"/>
      <c r="AO325" s="59"/>
      <c r="AP325" s="59"/>
      <c r="AQ325" s="59"/>
    </row>
    <row r="326" spans="37:43" ht="13.2" x14ac:dyDescent="0.25">
      <c r="AK326" s="59"/>
      <c r="AL326" s="59"/>
      <c r="AM326" s="59"/>
      <c r="AN326" s="59"/>
      <c r="AO326" s="59"/>
      <c r="AP326" s="59"/>
      <c r="AQ326" s="59"/>
    </row>
    <row r="327" spans="37:43" ht="13.2" x14ac:dyDescent="0.25">
      <c r="AK327" s="59"/>
      <c r="AL327" s="59"/>
      <c r="AM327" s="59"/>
      <c r="AN327" s="59"/>
      <c r="AO327" s="59"/>
      <c r="AP327" s="59"/>
      <c r="AQ327" s="59"/>
    </row>
    <row r="328" spans="37:43" ht="13.2" x14ac:dyDescent="0.25">
      <c r="AK328" s="59"/>
      <c r="AL328" s="59"/>
      <c r="AM328" s="59"/>
      <c r="AN328" s="59"/>
      <c r="AO328" s="59"/>
      <c r="AP328" s="59"/>
      <c r="AQ328" s="59"/>
    </row>
    <row r="329" spans="37:43" ht="13.2" x14ac:dyDescent="0.25">
      <c r="AK329" s="59"/>
      <c r="AL329" s="59"/>
      <c r="AM329" s="59"/>
      <c r="AN329" s="59"/>
      <c r="AO329" s="59"/>
      <c r="AP329" s="59"/>
      <c r="AQ329" s="59"/>
    </row>
    <row r="330" spans="37:43" ht="13.2" x14ac:dyDescent="0.25">
      <c r="AK330" s="59"/>
      <c r="AL330" s="59"/>
      <c r="AM330" s="59"/>
      <c r="AN330" s="59"/>
      <c r="AO330" s="59"/>
      <c r="AP330" s="59"/>
      <c r="AQ330" s="59"/>
    </row>
    <row r="331" spans="37:43" ht="13.2" x14ac:dyDescent="0.25">
      <c r="AK331" s="59"/>
      <c r="AL331" s="59"/>
      <c r="AM331" s="59"/>
      <c r="AN331" s="59"/>
      <c r="AO331" s="59"/>
      <c r="AP331" s="59"/>
      <c r="AQ331" s="59"/>
    </row>
    <row r="332" spans="37:43" ht="13.2" x14ac:dyDescent="0.25">
      <c r="AK332" s="59"/>
      <c r="AL332" s="59"/>
      <c r="AM332" s="59"/>
      <c r="AN332" s="59"/>
      <c r="AO332" s="59"/>
      <c r="AP332" s="59"/>
      <c r="AQ332" s="59"/>
    </row>
    <row r="333" spans="37:43" ht="13.2" x14ac:dyDescent="0.25">
      <c r="AK333" s="59"/>
      <c r="AL333" s="59"/>
      <c r="AM333" s="59"/>
      <c r="AN333" s="59"/>
      <c r="AO333" s="59"/>
      <c r="AP333" s="59"/>
      <c r="AQ333" s="59"/>
    </row>
    <row r="334" spans="37:43" ht="13.2" x14ac:dyDescent="0.25">
      <c r="AK334" s="59"/>
      <c r="AL334" s="59"/>
      <c r="AM334" s="59"/>
      <c r="AN334" s="59"/>
      <c r="AO334" s="59"/>
      <c r="AP334" s="59"/>
      <c r="AQ334" s="59"/>
    </row>
    <row r="335" spans="37:43" ht="13.2" x14ac:dyDescent="0.25">
      <c r="AK335" s="59"/>
      <c r="AL335" s="59"/>
      <c r="AM335" s="59"/>
      <c r="AN335" s="59"/>
      <c r="AO335" s="59"/>
      <c r="AP335" s="59"/>
      <c r="AQ335" s="59"/>
    </row>
    <row r="336" spans="37:43" ht="13.2" x14ac:dyDescent="0.25">
      <c r="AK336" s="59"/>
      <c r="AL336" s="59"/>
      <c r="AM336" s="59"/>
      <c r="AN336" s="59"/>
      <c r="AO336" s="59"/>
      <c r="AP336" s="59"/>
      <c r="AQ336" s="59"/>
    </row>
    <row r="337" spans="37:43" ht="13.2" x14ac:dyDescent="0.25">
      <c r="AK337" s="59"/>
      <c r="AL337" s="59"/>
      <c r="AM337" s="59"/>
      <c r="AN337" s="59"/>
      <c r="AO337" s="59"/>
      <c r="AP337" s="59"/>
      <c r="AQ337" s="59"/>
    </row>
    <row r="338" spans="37:43" ht="13.2" x14ac:dyDescent="0.25">
      <c r="AK338" s="59"/>
      <c r="AL338" s="59"/>
      <c r="AM338" s="59"/>
      <c r="AN338" s="59"/>
      <c r="AO338" s="59"/>
      <c r="AP338" s="59"/>
      <c r="AQ338" s="59"/>
    </row>
    <row r="339" spans="37:43" ht="13.2" x14ac:dyDescent="0.25">
      <c r="AK339" s="59"/>
      <c r="AL339" s="59"/>
      <c r="AM339" s="59"/>
      <c r="AN339" s="59"/>
      <c r="AO339" s="59"/>
      <c r="AP339" s="59"/>
      <c r="AQ339" s="59"/>
    </row>
    <row r="340" spans="37:43" ht="13.2" x14ac:dyDescent="0.25">
      <c r="AK340" s="59"/>
      <c r="AL340" s="59"/>
      <c r="AM340" s="59"/>
      <c r="AN340" s="59"/>
      <c r="AO340" s="59"/>
      <c r="AP340" s="59"/>
      <c r="AQ340" s="59"/>
    </row>
    <row r="341" spans="37:43" ht="13.2" x14ac:dyDescent="0.25">
      <c r="AK341" s="59"/>
      <c r="AL341" s="59"/>
      <c r="AM341" s="59"/>
      <c r="AN341" s="59"/>
      <c r="AO341" s="59"/>
      <c r="AP341" s="59"/>
      <c r="AQ341" s="59"/>
    </row>
    <row r="342" spans="37:43" ht="13.2" x14ac:dyDescent="0.25">
      <c r="AK342" s="59"/>
      <c r="AL342" s="59"/>
      <c r="AM342" s="59"/>
      <c r="AN342" s="59"/>
      <c r="AO342" s="59"/>
      <c r="AP342" s="59"/>
      <c r="AQ342" s="59"/>
    </row>
    <row r="343" spans="37:43" ht="13.2" x14ac:dyDescent="0.25">
      <c r="AK343" s="59"/>
      <c r="AL343" s="59"/>
      <c r="AM343" s="59"/>
      <c r="AN343" s="59"/>
      <c r="AO343" s="59"/>
      <c r="AP343" s="59"/>
      <c r="AQ343" s="59"/>
    </row>
    <row r="344" spans="37:43" ht="13.2" x14ac:dyDescent="0.25">
      <c r="AK344" s="59"/>
      <c r="AL344" s="59"/>
      <c r="AM344" s="59"/>
      <c r="AN344" s="59"/>
      <c r="AO344" s="59"/>
      <c r="AP344" s="59"/>
      <c r="AQ344" s="59"/>
    </row>
    <row r="345" spans="37:43" ht="13.2" x14ac:dyDescent="0.25">
      <c r="AK345" s="59"/>
      <c r="AL345" s="59"/>
      <c r="AM345" s="59"/>
      <c r="AN345" s="59"/>
      <c r="AO345" s="59"/>
      <c r="AP345" s="59"/>
      <c r="AQ345" s="59"/>
    </row>
    <row r="346" spans="37:43" ht="13.2" x14ac:dyDescent="0.25">
      <c r="AK346" s="59"/>
      <c r="AL346" s="59"/>
      <c r="AM346" s="59"/>
      <c r="AN346" s="59"/>
      <c r="AO346" s="59"/>
      <c r="AP346" s="59"/>
      <c r="AQ346" s="59"/>
    </row>
    <row r="347" spans="37:43" ht="13.2" x14ac:dyDescent="0.25">
      <c r="AK347" s="59"/>
      <c r="AL347" s="59"/>
      <c r="AM347" s="59"/>
      <c r="AN347" s="59"/>
      <c r="AO347" s="59"/>
      <c r="AP347" s="59"/>
      <c r="AQ347" s="59"/>
    </row>
    <row r="348" spans="37:43" ht="13.2" x14ac:dyDescent="0.25">
      <c r="AK348" s="59"/>
      <c r="AL348" s="59"/>
      <c r="AM348" s="59"/>
      <c r="AN348" s="59"/>
      <c r="AO348" s="59"/>
      <c r="AP348" s="59"/>
      <c r="AQ348" s="59"/>
    </row>
    <row r="349" spans="37:43" ht="13.2" x14ac:dyDescent="0.25">
      <c r="AK349" s="59"/>
      <c r="AL349" s="59"/>
      <c r="AM349" s="59"/>
      <c r="AN349" s="59"/>
      <c r="AO349" s="59"/>
      <c r="AP349" s="59"/>
      <c r="AQ349" s="59"/>
    </row>
    <row r="350" spans="37:43" ht="13.2" x14ac:dyDescent="0.25">
      <c r="AK350" s="59"/>
      <c r="AL350" s="59"/>
      <c r="AM350" s="59"/>
      <c r="AN350" s="59"/>
      <c r="AO350" s="59"/>
      <c r="AP350" s="59"/>
      <c r="AQ350" s="59"/>
    </row>
    <row r="351" spans="37:43" ht="13.2" x14ac:dyDescent="0.25">
      <c r="AK351" s="59"/>
      <c r="AL351" s="59"/>
      <c r="AM351" s="59"/>
      <c r="AN351" s="59"/>
      <c r="AO351" s="59"/>
      <c r="AP351" s="59"/>
      <c r="AQ351" s="59"/>
    </row>
    <row r="352" spans="37:43" ht="13.2" x14ac:dyDescent="0.25">
      <c r="AK352" s="59"/>
      <c r="AL352" s="59"/>
      <c r="AM352" s="59"/>
      <c r="AN352" s="59"/>
      <c r="AO352" s="59"/>
      <c r="AP352" s="59"/>
      <c r="AQ352" s="59"/>
    </row>
    <row r="353" spans="37:43" ht="13.2" x14ac:dyDescent="0.25">
      <c r="AK353" s="59"/>
      <c r="AL353" s="59"/>
      <c r="AM353" s="59"/>
      <c r="AN353" s="59"/>
      <c r="AO353" s="59"/>
      <c r="AP353" s="59"/>
      <c r="AQ353" s="59"/>
    </row>
    <row r="354" spans="37:43" ht="13.2" x14ac:dyDescent="0.25">
      <c r="AK354" s="59"/>
      <c r="AL354" s="59"/>
      <c r="AM354" s="59"/>
      <c r="AN354" s="59"/>
      <c r="AO354" s="59"/>
      <c r="AP354" s="59"/>
      <c r="AQ354" s="59"/>
    </row>
    <row r="355" spans="37:43" ht="13.2" x14ac:dyDescent="0.25">
      <c r="AK355" s="59"/>
      <c r="AL355" s="59"/>
      <c r="AM355" s="59"/>
      <c r="AN355" s="59"/>
      <c r="AO355" s="59"/>
      <c r="AP355" s="59"/>
      <c r="AQ355" s="59"/>
    </row>
    <row r="356" spans="37:43" ht="13.2" x14ac:dyDescent="0.25">
      <c r="AK356" s="59"/>
      <c r="AL356" s="59"/>
      <c r="AM356" s="59"/>
      <c r="AN356" s="59"/>
      <c r="AO356" s="59"/>
      <c r="AP356" s="59"/>
      <c r="AQ356" s="59"/>
    </row>
    <row r="357" spans="37:43" ht="13.2" x14ac:dyDescent="0.25">
      <c r="AK357" s="59"/>
      <c r="AL357" s="59"/>
      <c r="AM357" s="59"/>
      <c r="AN357" s="59"/>
      <c r="AO357" s="59"/>
      <c r="AP357" s="59"/>
      <c r="AQ357" s="59"/>
    </row>
    <row r="358" spans="37:43" ht="13.2" x14ac:dyDescent="0.25">
      <c r="AK358" s="59"/>
      <c r="AL358" s="59"/>
      <c r="AM358" s="59"/>
      <c r="AN358" s="59"/>
      <c r="AO358" s="59"/>
      <c r="AP358" s="59"/>
      <c r="AQ358" s="59"/>
    </row>
    <row r="359" spans="37:43" ht="13.2" x14ac:dyDescent="0.25">
      <c r="AK359" s="59"/>
      <c r="AL359" s="59"/>
      <c r="AM359" s="59"/>
      <c r="AN359" s="59"/>
      <c r="AO359" s="59"/>
      <c r="AP359" s="59"/>
      <c r="AQ359" s="59"/>
    </row>
    <row r="360" spans="37:43" ht="13.2" x14ac:dyDescent="0.25">
      <c r="AK360" s="59"/>
      <c r="AL360" s="59"/>
      <c r="AM360" s="59"/>
      <c r="AN360" s="59"/>
      <c r="AO360" s="59"/>
      <c r="AP360" s="59"/>
      <c r="AQ360" s="59"/>
    </row>
    <row r="361" spans="37:43" ht="13.2" x14ac:dyDescent="0.25">
      <c r="AK361" s="59"/>
      <c r="AL361" s="59"/>
      <c r="AM361" s="59"/>
      <c r="AN361" s="59"/>
      <c r="AO361" s="59"/>
      <c r="AP361" s="59"/>
      <c r="AQ361" s="59"/>
    </row>
    <row r="362" spans="37:43" ht="13.2" x14ac:dyDescent="0.25">
      <c r="AK362" s="59"/>
      <c r="AL362" s="59"/>
      <c r="AM362" s="59"/>
      <c r="AN362" s="59"/>
      <c r="AO362" s="59"/>
      <c r="AP362" s="59"/>
      <c r="AQ362" s="59"/>
    </row>
    <row r="363" spans="37:43" ht="13.2" x14ac:dyDescent="0.25">
      <c r="AK363" s="59"/>
      <c r="AL363" s="59"/>
      <c r="AM363" s="59"/>
      <c r="AN363" s="59"/>
      <c r="AO363" s="59"/>
      <c r="AP363" s="59"/>
      <c r="AQ363" s="59"/>
    </row>
    <row r="364" spans="37:43" ht="13.2" x14ac:dyDescent="0.25">
      <c r="AK364" s="59"/>
      <c r="AL364" s="59"/>
      <c r="AM364" s="59"/>
      <c r="AN364" s="59"/>
      <c r="AO364" s="59"/>
      <c r="AP364" s="59"/>
      <c r="AQ364" s="59"/>
    </row>
    <row r="365" spans="37:43" ht="13.2" x14ac:dyDescent="0.25">
      <c r="AK365" s="59"/>
      <c r="AL365" s="59"/>
      <c r="AM365" s="59"/>
      <c r="AN365" s="59"/>
      <c r="AO365" s="59"/>
      <c r="AP365" s="59"/>
      <c r="AQ365" s="59"/>
    </row>
    <row r="366" spans="37:43" ht="13.2" x14ac:dyDescent="0.25">
      <c r="AK366" s="59"/>
      <c r="AL366" s="59"/>
      <c r="AM366" s="59"/>
      <c r="AN366" s="59"/>
      <c r="AO366" s="59"/>
      <c r="AP366" s="59"/>
      <c r="AQ366" s="59"/>
    </row>
    <row r="367" spans="37:43" ht="13.2" x14ac:dyDescent="0.25">
      <c r="AK367" s="59"/>
      <c r="AL367" s="59"/>
      <c r="AM367" s="59"/>
      <c r="AN367" s="59"/>
      <c r="AO367" s="59"/>
      <c r="AP367" s="59"/>
      <c r="AQ367" s="59"/>
    </row>
    <row r="368" spans="37:43" ht="13.2" x14ac:dyDescent="0.25">
      <c r="AK368" s="59"/>
      <c r="AL368" s="59"/>
      <c r="AM368" s="59"/>
      <c r="AN368" s="59"/>
      <c r="AO368" s="59"/>
      <c r="AP368" s="59"/>
      <c r="AQ368" s="59"/>
    </row>
    <row r="369" spans="37:43" ht="13.2" x14ac:dyDescent="0.25">
      <c r="AK369" s="59"/>
      <c r="AL369" s="59"/>
      <c r="AM369" s="59"/>
      <c r="AN369" s="59"/>
      <c r="AO369" s="59"/>
      <c r="AP369" s="59"/>
      <c r="AQ369" s="59"/>
    </row>
    <row r="370" spans="37:43" ht="13.2" x14ac:dyDescent="0.25">
      <c r="AK370" s="59"/>
      <c r="AL370" s="59"/>
      <c r="AM370" s="59"/>
      <c r="AN370" s="59"/>
      <c r="AO370" s="59"/>
      <c r="AP370" s="59"/>
      <c r="AQ370" s="59"/>
    </row>
    <row r="371" spans="37:43" ht="13.2" x14ac:dyDescent="0.25">
      <c r="AK371" s="59"/>
      <c r="AL371" s="59"/>
      <c r="AM371" s="59"/>
      <c r="AN371" s="59"/>
      <c r="AO371" s="59"/>
      <c r="AP371" s="59"/>
      <c r="AQ371" s="59"/>
    </row>
    <row r="372" spans="37:43" ht="13.2" x14ac:dyDescent="0.25">
      <c r="AK372" s="59"/>
      <c r="AL372" s="59"/>
      <c r="AM372" s="59"/>
      <c r="AN372" s="59"/>
      <c r="AO372" s="59"/>
      <c r="AP372" s="59"/>
      <c r="AQ372" s="59"/>
    </row>
    <row r="373" spans="37:43" ht="13.2" x14ac:dyDescent="0.25">
      <c r="AK373" s="59"/>
      <c r="AL373" s="59"/>
      <c r="AM373" s="59"/>
      <c r="AN373" s="59"/>
      <c r="AO373" s="59"/>
      <c r="AP373" s="59"/>
      <c r="AQ373" s="59"/>
    </row>
    <row r="374" spans="37:43" ht="13.2" x14ac:dyDescent="0.25">
      <c r="AK374" s="59"/>
      <c r="AL374" s="59"/>
      <c r="AM374" s="59"/>
      <c r="AN374" s="59"/>
      <c r="AO374" s="59"/>
      <c r="AP374" s="59"/>
      <c r="AQ374" s="59"/>
    </row>
    <row r="375" spans="37:43" ht="13.2" x14ac:dyDescent="0.25">
      <c r="AK375" s="59"/>
      <c r="AL375" s="59"/>
      <c r="AM375" s="59"/>
      <c r="AN375" s="59"/>
      <c r="AO375" s="59"/>
      <c r="AP375" s="59"/>
      <c r="AQ375" s="59"/>
    </row>
    <row r="376" spans="37:43" ht="13.2" x14ac:dyDescent="0.25">
      <c r="AK376" s="59"/>
      <c r="AL376" s="59"/>
      <c r="AM376" s="59"/>
      <c r="AN376" s="59"/>
      <c r="AO376" s="59"/>
      <c r="AP376" s="59"/>
      <c r="AQ376" s="59"/>
    </row>
    <row r="377" spans="37:43" ht="13.2" x14ac:dyDescent="0.25">
      <c r="AK377" s="59"/>
      <c r="AL377" s="59"/>
      <c r="AM377" s="59"/>
      <c r="AN377" s="59"/>
      <c r="AO377" s="59"/>
      <c r="AP377" s="59"/>
      <c r="AQ377" s="59"/>
    </row>
    <row r="378" spans="37:43" ht="13.2" x14ac:dyDescent="0.25">
      <c r="AK378" s="59"/>
      <c r="AL378" s="59"/>
      <c r="AM378" s="59"/>
      <c r="AN378" s="59"/>
      <c r="AO378" s="59"/>
      <c r="AP378" s="59"/>
      <c r="AQ378" s="59"/>
    </row>
    <row r="379" spans="37:43" ht="13.2" x14ac:dyDescent="0.25">
      <c r="AK379" s="59"/>
      <c r="AL379" s="59"/>
      <c r="AM379" s="59"/>
      <c r="AN379" s="59"/>
      <c r="AO379" s="59"/>
      <c r="AP379" s="59"/>
      <c r="AQ379" s="59"/>
    </row>
    <row r="380" spans="37:43" ht="13.2" x14ac:dyDescent="0.25">
      <c r="AK380" s="59"/>
      <c r="AL380" s="59"/>
      <c r="AM380" s="59"/>
      <c r="AN380" s="59"/>
      <c r="AO380" s="59"/>
      <c r="AP380" s="59"/>
      <c r="AQ380" s="59"/>
    </row>
    <row r="381" spans="37:43" ht="13.2" x14ac:dyDescent="0.25">
      <c r="AK381" s="59"/>
      <c r="AL381" s="59"/>
      <c r="AM381" s="59"/>
      <c r="AN381" s="59"/>
      <c r="AO381" s="59"/>
      <c r="AP381" s="59"/>
      <c r="AQ381" s="59"/>
    </row>
    <row r="382" spans="37:43" ht="13.2" x14ac:dyDescent="0.25">
      <c r="AK382" s="59"/>
      <c r="AL382" s="59"/>
      <c r="AM382" s="59"/>
      <c r="AN382" s="59"/>
      <c r="AO382" s="59"/>
      <c r="AP382" s="59"/>
      <c r="AQ382" s="59"/>
    </row>
    <row r="383" spans="37:43" ht="13.2" x14ac:dyDescent="0.25">
      <c r="AK383" s="59"/>
      <c r="AL383" s="59"/>
      <c r="AM383" s="59"/>
      <c r="AN383" s="59"/>
      <c r="AO383" s="59"/>
      <c r="AP383" s="59"/>
      <c r="AQ383" s="59"/>
    </row>
    <row r="384" spans="37:43" ht="13.2" x14ac:dyDescent="0.25">
      <c r="AK384" s="59"/>
      <c r="AL384" s="59"/>
      <c r="AM384" s="59"/>
      <c r="AN384" s="59"/>
      <c r="AO384" s="59"/>
      <c r="AP384" s="59"/>
      <c r="AQ384" s="59"/>
    </row>
    <row r="385" spans="37:43" ht="13.2" x14ac:dyDescent="0.25">
      <c r="AK385" s="59"/>
      <c r="AL385" s="59"/>
      <c r="AM385" s="59"/>
      <c r="AN385" s="59"/>
      <c r="AO385" s="59"/>
      <c r="AP385" s="59"/>
      <c r="AQ385" s="59"/>
    </row>
    <row r="386" spans="37:43" ht="13.2" x14ac:dyDescent="0.25">
      <c r="AK386" s="59"/>
      <c r="AL386" s="59"/>
      <c r="AM386" s="59"/>
      <c r="AN386" s="59"/>
      <c r="AO386" s="59"/>
      <c r="AP386" s="59"/>
      <c r="AQ386" s="59"/>
    </row>
    <row r="387" spans="37:43" ht="13.2" x14ac:dyDescent="0.25">
      <c r="AK387" s="59"/>
      <c r="AL387" s="59"/>
      <c r="AM387" s="59"/>
      <c r="AN387" s="59"/>
      <c r="AO387" s="59"/>
      <c r="AP387" s="59"/>
      <c r="AQ387" s="59"/>
    </row>
    <row r="388" spans="37:43" ht="13.2" x14ac:dyDescent="0.25">
      <c r="AK388" s="59"/>
      <c r="AL388" s="59"/>
      <c r="AM388" s="59"/>
      <c r="AN388" s="59"/>
      <c r="AO388" s="59"/>
      <c r="AP388" s="59"/>
      <c r="AQ388" s="59"/>
    </row>
    <row r="389" spans="37:43" ht="13.2" x14ac:dyDescent="0.25">
      <c r="AK389" s="59"/>
      <c r="AL389" s="59"/>
      <c r="AM389" s="59"/>
      <c r="AN389" s="59"/>
      <c r="AO389" s="59"/>
      <c r="AP389" s="59"/>
      <c r="AQ389" s="59"/>
    </row>
    <row r="390" spans="37:43" ht="13.2" x14ac:dyDescent="0.25">
      <c r="AK390" s="59"/>
      <c r="AL390" s="59"/>
      <c r="AM390" s="59"/>
      <c r="AN390" s="59"/>
      <c r="AO390" s="59"/>
      <c r="AP390" s="59"/>
      <c r="AQ390" s="59"/>
    </row>
    <row r="391" spans="37:43" ht="13.2" x14ac:dyDescent="0.25">
      <c r="AK391" s="59"/>
      <c r="AL391" s="59"/>
      <c r="AM391" s="59"/>
      <c r="AN391" s="59"/>
      <c r="AO391" s="59"/>
      <c r="AP391" s="59"/>
      <c r="AQ391" s="59"/>
    </row>
    <row r="392" spans="37:43" ht="13.2" x14ac:dyDescent="0.25">
      <c r="AK392" s="59"/>
      <c r="AL392" s="59"/>
      <c r="AM392" s="59"/>
      <c r="AN392" s="59"/>
      <c r="AO392" s="59"/>
      <c r="AP392" s="59"/>
      <c r="AQ392" s="59"/>
    </row>
    <row r="393" spans="37:43" ht="13.2" x14ac:dyDescent="0.25">
      <c r="AK393" s="59"/>
      <c r="AL393" s="59"/>
      <c r="AM393" s="59"/>
      <c r="AN393" s="59"/>
      <c r="AO393" s="59"/>
      <c r="AP393" s="59"/>
      <c r="AQ393" s="59"/>
    </row>
    <row r="394" spans="37:43" ht="13.2" x14ac:dyDescent="0.25">
      <c r="AK394" s="59"/>
      <c r="AL394" s="59"/>
      <c r="AM394" s="59"/>
      <c r="AN394" s="59"/>
      <c r="AO394" s="59"/>
      <c r="AP394" s="59"/>
      <c r="AQ394" s="59"/>
    </row>
    <row r="395" spans="37:43" ht="13.2" x14ac:dyDescent="0.25">
      <c r="AK395" s="59"/>
      <c r="AL395" s="59"/>
      <c r="AM395" s="59"/>
      <c r="AN395" s="59"/>
      <c r="AO395" s="59"/>
      <c r="AP395" s="59"/>
      <c r="AQ395" s="59"/>
    </row>
    <row r="396" spans="37:43" ht="13.2" x14ac:dyDescent="0.25">
      <c r="AK396" s="59"/>
      <c r="AL396" s="59"/>
      <c r="AM396" s="59"/>
      <c r="AN396" s="59"/>
      <c r="AO396" s="59"/>
      <c r="AP396" s="59"/>
      <c r="AQ396" s="59"/>
    </row>
    <row r="397" spans="37:43" ht="13.2" x14ac:dyDescent="0.25">
      <c r="AK397" s="59"/>
      <c r="AL397" s="59"/>
      <c r="AM397" s="59"/>
      <c r="AN397" s="59"/>
      <c r="AO397" s="59"/>
      <c r="AP397" s="59"/>
      <c r="AQ397" s="59"/>
    </row>
    <row r="398" spans="37:43" ht="13.2" x14ac:dyDescent="0.25">
      <c r="AK398" s="59"/>
      <c r="AL398" s="59"/>
      <c r="AM398" s="59"/>
      <c r="AN398" s="59"/>
      <c r="AO398" s="59"/>
      <c r="AP398" s="59"/>
      <c r="AQ398" s="59"/>
    </row>
    <row r="399" spans="37:43" ht="13.2" x14ac:dyDescent="0.25">
      <c r="AK399" s="59"/>
      <c r="AL399" s="59"/>
      <c r="AM399" s="59"/>
      <c r="AN399" s="59"/>
      <c r="AO399" s="59"/>
      <c r="AP399" s="59"/>
      <c r="AQ399" s="59"/>
    </row>
    <row r="400" spans="37:43" ht="13.2" x14ac:dyDescent="0.25">
      <c r="AK400" s="59"/>
      <c r="AL400" s="59"/>
      <c r="AM400" s="59"/>
      <c r="AN400" s="59"/>
      <c r="AO400" s="59"/>
      <c r="AP400" s="59"/>
      <c r="AQ400" s="59"/>
    </row>
    <row r="401" spans="37:43" ht="13.2" x14ac:dyDescent="0.25">
      <c r="AK401" s="59"/>
      <c r="AL401" s="59"/>
      <c r="AM401" s="59"/>
      <c r="AN401" s="59"/>
      <c r="AO401" s="59"/>
      <c r="AP401" s="59"/>
      <c r="AQ401" s="59"/>
    </row>
    <row r="402" spans="37:43" ht="13.2" x14ac:dyDescent="0.25">
      <c r="AK402" s="59"/>
      <c r="AL402" s="59"/>
      <c r="AM402" s="59"/>
      <c r="AN402" s="59"/>
      <c r="AO402" s="59"/>
      <c r="AP402" s="59"/>
      <c r="AQ402" s="59"/>
    </row>
    <row r="403" spans="37:43" ht="13.2" x14ac:dyDescent="0.25">
      <c r="AK403" s="59"/>
      <c r="AL403" s="59"/>
      <c r="AM403" s="59"/>
      <c r="AN403" s="59"/>
      <c r="AO403" s="59"/>
      <c r="AP403" s="59"/>
      <c r="AQ403" s="59"/>
    </row>
    <row r="404" spans="37:43" ht="13.2" x14ac:dyDescent="0.25">
      <c r="AK404" s="59"/>
      <c r="AL404" s="59"/>
      <c r="AM404" s="59"/>
      <c r="AN404" s="59"/>
      <c r="AO404" s="59"/>
      <c r="AP404" s="59"/>
      <c r="AQ404" s="59"/>
    </row>
    <row r="405" spans="37:43" ht="13.2" x14ac:dyDescent="0.25">
      <c r="AK405" s="59"/>
      <c r="AL405" s="59"/>
      <c r="AM405" s="59"/>
      <c r="AN405" s="59"/>
      <c r="AO405" s="59"/>
      <c r="AP405" s="59"/>
      <c r="AQ405" s="59"/>
    </row>
    <row r="406" spans="37:43" ht="13.2" x14ac:dyDescent="0.25">
      <c r="AK406" s="59"/>
      <c r="AL406" s="59"/>
      <c r="AM406" s="59"/>
      <c r="AN406" s="59"/>
      <c r="AO406" s="59"/>
      <c r="AP406" s="59"/>
      <c r="AQ406" s="59"/>
    </row>
    <row r="407" spans="37:43" ht="13.2" x14ac:dyDescent="0.25">
      <c r="AK407" s="59"/>
      <c r="AL407" s="59"/>
      <c r="AM407" s="59"/>
      <c r="AN407" s="59"/>
      <c r="AO407" s="59"/>
      <c r="AP407" s="59"/>
      <c r="AQ407" s="59"/>
    </row>
    <row r="408" spans="37:43" ht="13.2" x14ac:dyDescent="0.25">
      <c r="AK408" s="59"/>
      <c r="AL408" s="59"/>
      <c r="AM408" s="59"/>
      <c r="AN408" s="59"/>
      <c r="AO408" s="59"/>
      <c r="AP408" s="59"/>
      <c r="AQ408" s="59"/>
    </row>
    <row r="409" spans="37:43" ht="13.2" x14ac:dyDescent="0.25">
      <c r="AK409" s="59"/>
      <c r="AL409" s="59"/>
      <c r="AM409" s="59"/>
      <c r="AN409" s="59"/>
      <c r="AO409" s="59"/>
      <c r="AP409" s="59"/>
      <c r="AQ409" s="59"/>
    </row>
    <row r="410" spans="37:43" ht="13.2" x14ac:dyDescent="0.25">
      <c r="AK410" s="59"/>
      <c r="AL410" s="59"/>
      <c r="AM410" s="59"/>
      <c r="AN410" s="59"/>
      <c r="AO410" s="59"/>
      <c r="AP410" s="59"/>
      <c r="AQ410" s="59"/>
    </row>
    <row r="411" spans="37:43" ht="13.2" x14ac:dyDescent="0.25">
      <c r="AK411" s="59"/>
      <c r="AL411" s="59"/>
      <c r="AM411" s="59"/>
      <c r="AN411" s="59"/>
      <c r="AO411" s="59"/>
      <c r="AP411" s="59"/>
      <c r="AQ411" s="59"/>
    </row>
    <row r="412" spans="37:43" ht="13.2" x14ac:dyDescent="0.25">
      <c r="AK412" s="59"/>
      <c r="AL412" s="59"/>
      <c r="AM412" s="59"/>
      <c r="AN412" s="59"/>
      <c r="AO412" s="59"/>
      <c r="AP412" s="59"/>
      <c r="AQ412" s="59"/>
    </row>
    <row r="413" spans="37:43" ht="13.2" x14ac:dyDescent="0.25">
      <c r="AK413" s="59"/>
      <c r="AL413" s="59"/>
      <c r="AM413" s="59"/>
      <c r="AN413" s="59"/>
      <c r="AO413" s="59"/>
      <c r="AP413" s="59"/>
      <c r="AQ413" s="59"/>
    </row>
    <row r="414" spans="37:43" ht="13.2" x14ac:dyDescent="0.25">
      <c r="AK414" s="59"/>
      <c r="AL414" s="59"/>
      <c r="AM414" s="59"/>
      <c r="AN414" s="59"/>
      <c r="AO414" s="59"/>
      <c r="AP414" s="59"/>
      <c r="AQ414" s="59"/>
    </row>
    <row r="415" spans="37:43" ht="13.2" x14ac:dyDescent="0.25">
      <c r="AK415" s="59"/>
      <c r="AL415" s="59"/>
      <c r="AM415" s="59"/>
      <c r="AN415" s="59"/>
      <c r="AO415" s="59"/>
      <c r="AP415" s="59"/>
      <c r="AQ415" s="59"/>
    </row>
    <row r="416" spans="37:43" ht="13.2" x14ac:dyDescent="0.25">
      <c r="AK416" s="59"/>
      <c r="AL416" s="59"/>
      <c r="AM416" s="59"/>
      <c r="AN416" s="59"/>
      <c r="AO416" s="59"/>
      <c r="AP416" s="59"/>
      <c r="AQ416" s="59"/>
    </row>
    <row r="417" spans="37:43" ht="13.2" x14ac:dyDescent="0.25">
      <c r="AK417" s="59"/>
      <c r="AL417" s="59"/>
      <c r="AM417" s="59"/>
      <c r="AN417" s="59"/>
      <c r="AO417" s="59"/>
      <c r="AP417" s="59"/>
      <c r="AQ417" s="59"/>
    </row>
    <row r="418" spans="37:43" ht="13.2" x14ac:dyDescent="0.25">
      <c r="AK418" s="59"/>
      <c r="AL418" s="59"/>
      <c r="AM418" s="59"/>
      <c r="AN418" s="59"/>
      <c r="AO418" s="59"/>
      <c r="AP418" s="59"/>
      <c r="AQ418" s="59"/>
    </row>
    <row r="419" spans="37:43" ht="13.2" x14ac:dyDescent="0.25">
      <c r="AK419" s="59"/>
      <c r="AL419" s="59"/>
      <c r="AM419" s="59"/>
      <c r="AN419" s="59"/>
      <c r="AO419" s="59"/>
      <c r="AP419" s="59"/>
      <c r="AQ419" s="59"/>
    </row>
    <row r="420" spans="37:43" ht="13.2" x14ac:dyDescent="0.25">
      <c r="AK420" s="59"/>
      <c r="AL420" s="59"/>
      <c r="AM420" s="59"/>
      <c r="AN420" s="59"/>
      <c r="AO420" s="59"/>
      <c r="AP420" s="59"/>
      <c r="AQ420" s="59"/>
    </row>
    <row r="421" spans="37:43" ht="13.2" x14ac:dyDescent="0.25">
      <c r="AK421" s="59"/>
      <c r="AL421" s="59"/>
      <c r="AM421" s="59"/>
      <c r="AN421" s="59"/>
      <c r="AO421" s="59"/>
      <c r="AP421" s="59"/>
      <c r="AQ421" s="59"/>
    </row>
    <row r="422" spans="37:43" ht="13.2" x14ac:dyDescent="0.25">
      <c r="AK422" s="59"/>
      <c r="AL422" s="59"/>
      <c r="AM422" s="59"/>
      <c r="AN422" s="59"/>
      <c r="AO422" s="59"/>
      <c r="AP422" s="59"/>
      <c r="AQ422" s="59"/>
    </row>
    <row r="423" spans="37:43" ht="13.2" x14ac:dyDescent="0.25">
      <c r="AK423" s="59"/>
      <c r="AL423" s="59"/>
      <c r="AM423" s="59"/>
      <c r="AN423" s="59"/>
      <c r="AO423" s="59"/>
      <c r="AP423" s="59"/>
      <c r="AQ423" s="59"/>
    </row>
    <row r="424" spans="37:43" ht="13.2" x14ac:dyDescent="0.25">
      <c r="AK424" s="59"/>
      <c r="AL424" s="59"/>
      <c r="AM424" s="59"/>
      <c r="AN424" s="59"/>
      <c r="AO424" s="59"/>
      <c r="AP424" s="59"/>
      <c r="AQ424" s="59"/>
    </row>
    <row r="425" spans="37:43" ht="13.2" x14ac:dyDescent="0.25">
      <c r="AK425" s="59"/>
      <c r="AL425" s="59"/>
      <c r="AM425" s="59"/>
      <c r="AN425" s="59"/>
      <c r="AO425" s="59"/>
      <c r="AP425" s="59"/>
      <c r="AQ425" s="59"/>
    </row>
    <row r="426" spans="37:43" ht="13.2" x14ac:dyDescent="0.25">
      <c r="AK426" s="59"/>
      <c r="AL426" s="59"/>
      <c r="AM426" s="59"/>
      <c r="AN426" s="59"/>
      <c r="AO426" s="59"/>
      <c r="AP426" s="59"/>
      <c r="AQ426" s="59"/>
    </row>
    <row r="427" spans="37:43" ht="13.2" x14ac:dyDescent="0.25">
      <c r="AK427" s="59"/>
      <c r="AL427" s="59"/>
      <c r="AM427" s="59"/>
      <c r="AN427" s="59"/>
      <c r="AO427" s="59"/>
      <c r="AP427" s="59"/>
      <c r="AQ427" s="59"/>
    </row>
    <row r="428" spans="37:43" ht="13.2" x14ac:dyDescent="0.25">
      <c r="AK428" s="59"/>
      <c r="AL428" s="59"/>
      <c r="AM428" s="59"/>
      <c r="AN428" s="59"/>
      <c r="AO428" s="59"/>
      <c r="AP428" s="59"/>
      <c r="AQ428" s="59"/>
    </row>
    <row r="429" spans="37:43" ht="13.2" x14ac:dyDescent="0.25">
      <c r="AK429" s="59"/>
      <c r="AL429" s="59"/>
      <c r="AM429" s="59"/>
      <c r="AN429" s="59"/>
      <c r="AO429" s="59"/>
      <c r="AP429" s="59"/>
      <c r="AQ429" s="59"/>
    </row>
    <row r="430" spans="37:43" ht="13.2" x14ac:dyDescent="0.25">
      <c r="AK430" s="59"/>
      <c r="AL430" s="59"/>
      <c r="AM430" s="59"/>
      <c r="AN430" s="59"/>
      <c r="AO430" s="59"/>
      <c r="AP430" s="59"/>
      <c r="AQ430" s="59"/>
    </row>
    <row r="431" spans="37:43" ht="13.2" x14ac:dyDescent="0.25">
      <c r="AK431" s="59"/>
      <c r="AL431" s="59"/>
      <c r="AM431" s="59"/>
      <c r="AN431" s="59"/>
      <c r="AO431" s="59"/>
      <c r="AP431" s="59"/>
      <c r="AQ431" s="59"/>
    </row>
    <row r="432" spans="37:43" ht="13.2" x14ac:dyDescent="0.25">
      <c r="AK432" s="59"/>
      <c r="AL432" s="59"/>
      <c r="AM432" s="59"/>
      <c r="AN432" s="59"/>
      <c r="AO432" s="59"/>
      <c r="AP432" s="59"/>
      <c r="AQ432" s="59"/>
    </row>
    <row r="433" spans="37:43" ht="13.2" x14ac:dyDescent="0.25">
      <c r="AK433" s="59"/>
      <c r="AL433" s="59"/>
      <c r="AM433" s="59"/>
      <c r="AN433" s="59"/>
      <c r="AO433" s="59"/>
      <c r="AP433" s="59"/>
      <c r="AQ433" s="59"/>
    </row>
    <row r="434" spans="37:43" ht="13.2" x14ac:dyDescent="0.25">
      <c r="AK434" s="59"/>
      <c r="AL434" s="59"/>
      <c r="AM434" s="59"/>
      <c r="AN434" s="59"/>
      <c r="AO434" s="59"/>
      <c r="AP434" s="59"/>
      <c r="AQ434" s="59"/>
    </row>
    <row r="435" spans="37:43" ht="13.2" x14ac:dyDescent="0.25">
      <c r="AK435" s="59"/>
      <c r="AL435" s="59"/>
      <c r="AM435" s="59"/>
      <c r="AN435" s="59"/>
      <c r="AO435" s="59"/>
      <c r="AP435" s="59"/>
      <c r="AQ435" s="59"/>
    </row>
    <row r="436" spans="37:43" ht="13.2" x14ac:dyDescent="0.25">
      <c r="AK436" s="59"/>
      <c r="AL436" s="59"/>
      <c r="AM436" s="59"/>
      <c r="AN436" s="59"/>
      <c r="AO436" s="59"/>
      <c r="AP436" s="59"/>
      <c r="AQ436" s="59"/>
    </row>
    <row r="437" spans="37:43" ht="13.2" x14ac:dyDescent="0.25">
      <c r="AK437" s="59"/>
      <c r="AL437" s="59"/>
      <c r="AM437" s="59"/>
      <c r="AN437" s="59"/>
      <c r="AO437" s="59"/>
      <c r="AP437" s="59"/>
      <c r="AQ437" s="59"/>
    </row>
    <row r="438" spans="37:43" ht="13.2" x14ac:dyDescent="0.25">
      <c r="AK438" s="59"/>
      <c r="AL438" s="59"/>
      <c r="AM438" s="59"/>
      <c r="AN438" s="59"/>
      <c r="AO438" s="59"/>
      <c r="AP438" s="59"/>
      <c r="AQ438" s="59"/>
    </row>
    <row r="439" spans="37:43" ht="13.2" x14ac:dyDescent="0.25">
      <c r="AK439" s="59"/>
      <c r="AL439" s="59"/>
      <c r="AM439" s="59"/>
      <c r="AN439" s="59"/>
      <c r="AO439" s="59"/>
      <c r="AP439" s="59"/>
      <c r="AQ439" s="59"/>
    </row>
    <row r="440" spans="37:43" ht="13.2" x14ac:dyDescent="0.25">
      <c r="AK440" s="59"/>
      <c r="AL440" s="59"/>
      <c r="AM440" s="59"/>
      <c r="AN440" s="59"/>
      <c r="AO440" s="59"/>
      <c r="AP440" s="59"/>
      <c r="AQ440" s="59"/>
    </row>
    <row r="441" spans="37:43" ht="13.2" x14ac:dyDescent="0.25">
      <c r="AK441" s="59"/>
      <c r="AL441" s="59"/>
      <c r="AM441" s="59"/>
      <c r="AN441" s="59"/>
      <c r="AO441" s="59"/>
      <c r="AP441" s="59"/>
      <c r="AQ441" s="59"/>
    </row>
    <row r="442" spans="37:43" ht="13.2" x14ac:dyDescent="0.25">
      <c r="AK442" s="59"/>
      <c r="AL442" s="59"/>
      <c r="AM442" s="59"/>
      <c r="AN442" s="59"/>
      <c r="AO442" s="59"/>
      <c r="AP442" s="59"/>
      <c r="AQ442" s="59"/>
    </row>
    <row r="443" spans="37:43" ht="13.2" x14ac:dyDescent="0.25">
      <c r="AK443" s="59"/>
      <c r="AL443" s="59"/>
      <c r="AM443" s="59"/>
      <c r="AN443" s="59"/>
      <c r="AO443" s="59"/>
      <c r="AP443" s="59"/>
      <c r="AQ443" s="59"/>
    </row>
    <row r="444" spans="37:43" ht="13.2" x14ac:dyDescent="0.25">
      <c r="AK444" s="59"/>
      <c r="AL444" s="59"/>
      <c r="AM444" s="59"/>
      <c r="AN444" s="59"/>
      <c r="AO444" s="59"/>
      <c r="AP444" s="59"/>
      <c r="AQ444" s="59"/>
    </row>
    <row r="445" spans="37:43" ht="13.2" x14ac:dyDescent="0.25">
      <c r="AK445" s="59"/>
      <c r="AL445" s="59"/>
      <c r="AM445" s="59"/>
      <c r="AN445" s="59"/>
      <c r="AO445" s="59"/>
      <c r="AP445" s="59"/>
      <c r="AQ445" s="59"/>
    </row>
    <row r="446" spans="37:43" ht="13.2" x14ac:dyDescent="0.25">
      <c r="AK446" s="59"/>
      <c r="AL446" s="59"/>
      <c r="AM446" s="59"/>
      <c r="AN446" s="59"/>
      <c r="AO446" s="59"/>
      <c r="AP446" s="59"/>
      <c r="AQ446" s="59"/>
    </row>
    <row r="447" spans="37:43" ht="13.2" x14ac:dyDescent="0.25">
      <c r="AK447" s="59"/>
      <c r="AL447" s="59"/>
      <c r="AM447" s="59"/>
      <c r="AN447" s="59"/>
      <c r="AO447" s="59"/>
      <c r="AP447" s="59"/>
      <c r="AQ447" s="59"/>
    </row>
    <row r="448" spans="37:43" ht="13.2" x14ac:dyDescent="0.25">
      <c r="AK448" s="59"/>
      <c r="AL448" s="59"/>
      <c r="AM448" s="59"/>
      <c r="AN448" s="59"/>
      <c r="AO448" s="59"/>
      <c r="AP448" s="59"/>
      <c r="AQ448" s="59"/>
    </row>
    <row r="449" spans="37:43" ht="13.2" x14ac:dyDescent="0.25">
      <c r="AK449" s="59"/>
      <c r="AL449" s="59"/>
      <c r="AM449" s="59"/>
      <c r="AN449" s="59"/>
      <c r="AO449" s="59"/>
      <c r="AP449" s="59"/>
      <c r="AQ449" s="59"/>
    </row>
    <row r="450" spans="37:43" ht="13.2" x14ac:dyDescent="0.25">
      <c r="AK450" s="59"/>
      <c r="AL450" s="59"/>
      <c r="AM450" s="59"/>
      <c r="AN450" s="59"/>
      <c r="AO450" s="59"/>
      <c r="AP450" s="59"/>
      <c r="AQ450" s="59"/>
    </row>
    <row r="451" spans="37:43" ht="13.2" x14ac:dyDescent="0.25">
      <c r="AK451" s="59"/>
      <c r="AL451" s="59"/>
      <c r="AM451" s="59"/>
      <c r="AN451" s="59"/>
      <c r="AO451" s="59"/>
      <c r="AP451" s="59"/>
      <c r="AQ451" s="59"/>
    </row>
    <row r="452" spans="37:43" ht="13.2" x14ac:dyDescent="0.25">
      <c r="AK452" s="59"/>
      <c r="AL452" s="59"/>
      <c r="AM452" s="59"/>
      <c r="AN452" s="59"/>
      <c r="AO452" s="59"/>
      <c r="AP452" s="59"/>
      <c r="AQ452" s="59"/>
    </row>
    <row r="453" spans="37:43" ht="13.2" x14ac:dyDescent="0.25">
      <c r="AK453" s="59"/>
      <c r="AL453" s="59"/>
      <c r="AM453" s="59"/>
      <c r="AN453" s="59"/>
      <c r="AO453" s="59"/>
      <c r="AP453" s="59"/>
      <c r="AQ453" s="59"/>
    </row>
    <row r="454" spans="37:43" ht="13.2" x14ac:dyDescent="0.25">
      <c r="AK454" s="59"/>
      <c r="AL454" s="59"/>
      <c r="AM454" s="59"/>
      <c r="AN454" s="59"/>
      <c r="AO454" s="59"/>
      <c r="AP454" s="59"/>
      <c r="AQ454" s="59"/>
    </row>
    <row r="455" spans="37:43" ht="13.2" x14ac:dyDescent="0.25">
      <c r="AK455" s="59"/>
      <c r="AL455" s="59"/>
      <c r="AM455" s="59"/>
      <c r="AN455" s="59"/>
      <c r="AO455" s="59"/>
      <c r="AP455" s="59"/>
      <c r="AQ455" s="59"/>
    </row>
    <row r="456" spans="37:43" ht="13.2" x14ac:dyDescent="0.25">
      <c r="AK456" s="59"/>
      <c r="AL456" s="59"/>
      <c r="AM456" s="59"/>
      <c r="AN456" s="59"/>
      <c r="AO456" s="59"/>
      <c r="AP456" s="59"/>
      <c r="AQ456" s="59"/>
    </row>
    <row r="457" spans="37:43" ht="13.2" x14ac:dyDescent="0.25">
      <c r="AK457" s="59"/>
      <c r="AL457" s="59"/>
      <c r="AM457" s="59"/>
      <c r="AN457" s="59"/>
      <c r="AO457" s="59"/>
      <c r="AP457" s="59"/>
      <c r="AQ457" s="59"/>
    </row>
    <row r="458" spans="37:43" ht="13.2" x14ac:dyDescent="0.25">
      <c r="AK458" s="59"/>
      <c r="AL458" s="59"/>
      <c r="AM458" s="59"/>
      <c r="AN458" s="59"/>
      <c r="AO458" s="59"/>
      <c r="AP458" s="59"/>
      <c r="AQ458" s="59"/>
    </row>
    <row r="459" spans="37:43" ht="13.2" x14ac:dyDescent="0.25">
      <c r="AK459" s="59"/>
      <c r="AL459" s="59"/>
      <c r="AM459" s="59"/>
      <c r="AN459" s="59"/>
      <c r="AO459" s="59"/>
      <c r="AP459" s="59"/>
      <c r="AQ459" s="59"/>
    </row>
    <row r="460" spans="37:43" ht="13.2" x14ac:dyDescent="0.25">
      <c r="AK460" s="59"/>
      <c r="AL460" s="59"/>
      <c r="AM460" s="59"/>
      <c r="AN460" s="59"/>
      <c r="AO460" s="59"/>
      <c r="AP460" s="59"/>
      <c r="AQ460" s="59"/>
    </row>
    <row r="461" spans="37:43" ht="13.2" x14ac:dyDescent="0.25">
      <c r="AK461" s="59"/>
      <c r="AL461" s="59"/>
      <c r="AM461" s="59"/>
      <c r="AN461" s="59"/>
      <c r="AO461" s="59"/>
      <c r="AP461" s="59"/>
      <c r="AQ461" s="59"/>
    </row>
    <row r="462" spans="37:43" ht="13.2" x14ac:dyDescent="0.25">
      <c r="AK462" s="59"/>
      <c r="AL462" s="59"/>
      <c r="AM462" s="59"/>
      <c r="AN462" s="59"/>
      <c r="AO462" s="59"/>
      <c r="AP462" s="59"/>
      <c r="AQ462" s="59"/>
    </row>
    <row r="463" spans="37:43" ht="13.2" x14ac:dyDescent="0.25">
      <c r="AK463" s="59"/>
      <c r="AL463" s="59"/>
      <c r="AM463" s="59"/>
      <c r="AN463" s="59"/>
      <c r="AO463" s="59"/>
      <c r="AP463" s="59"/>
      <c r="AQ463" s="59"/>
    </row>
    <row r="464" spans="37:43" ht="13.2" x14ac:dyDescent="0.25">
      <c r="AK464" s="59"/>
      <c r="AL464" s="59"/>
      <c r="AM464" s="59"/>
      <c r="AN464" s="59"/>
      <c r="AO464" s="59"/>
      <c r="AP464" s="59"/>
      <c r="AQ464" s="59"/>
    </row>
    <row r="465" spans="37:43" ht="13.2" x14ac:dyDescent="0.25">
      <c r="AK465" s="59"/>
      <c r="AL465" s="59"/>
      <c r="AM465" s="59"/>
      <c r="AN465" s="59"/>
      <c r="AO465" s="59"/>
      <c r="AP465" s="59"/>
      <c r="AQ465" s="59"/>
    </row>
    <row r="466" spans="37:43" ht="13.2" x14ac:dyDescent="0.25">
      <c r="AK466" s="59"/>
      <c r="AL466" s="59"/>
      <c r="AM466" s="59"/>
      <c r="AN466" s="59"/>
      <c r="AO466" s="59"/>
      <c r="AP466" s="59"/>
      <c r="AQ466" s="59"/>
    </row>
    <row r="467" spans="37:43" ht="13.2" x14ac:dyDescent="0.25">
      <c r="AK467" s="59"/>
      <c r="AL467" s="59"/>
      <c r="AM467" s="59"/>
      <c r="AN467" s="59"/>
      <c r="AO467" s="59"/>
      <c r="AP467" s="59"/>
      <c r="AQ467" s="59"/>
    </row>
    <row r="468" spans="37:43" ht="13.2" x14ac:dyDescent="0.25">
      <c r="AK468" s="59"/>
      <c r="AL468" s="59"/>
      <c r="AM468" s="59"/>
      <c r="AN468" s="59"/>
      <c r="AO468" s="59"/>
      <c r="AP468" s="59"/>
      <c r="AQ468" s="59"/>
    </row>
    <row r="469" spans="37:43" ht="13.2" x14ac:dyDescent="0.25">
      <c r="AK469" s="59"/>
      <c r="AL469" s="59"/>
      <c r="AM469" s="59"/>
      <c r="AN469" s="59"/>
      <c r="AO469" s="59"/>
      <c r="AP469" s="59"/>
      <c r="AQ469" s="59"/>
    </row>
    <row r="470" spans="37:43" ht="13.2" x14ac:dyDescent="0.25">
      <c r="AK470" s="59"/>
      <c r="AL470" s="59"/>
      <c r="AM470" s="59"/>
      <c r="AN470" s="59"/>
      <c r="AO470" s="59"/>
      <c r="AP470" s="59"/>
      <c r="AQ470" s="59"/>
    </row>
    <row r="471" spans="37:43" ht="13.2" x14ac:dyDescent="0.25">
      <c r="AK471" s="59"/>
      <c r="AL471" s="59"/>
      <c r="AM471" s="59"/>
      <c r="AN471" s="59"/>
      <c r="AO471" s="59"/>
      <c r="AP471" s="59"/>
      <c r="AQ471" s="59"/>
    </row>
    <row r="472" spans="37:43" ht="13.2" x14ac:dyDescent="0.25">
      <c r="AK472" s="59"/>
      <c r="AL472" s="59"/>
      <c r="AM472" s="59"/>
      <c r="AN472" s="59"/>
      <c r="AO472" s="59"/>
      <c r="AP472" s="59"/>
      <c r="AQ472" s="59"/>
    </row>
    <row r="473" spans="37:43" ht="13.2" x14ac:dyDescent="0.25">
      <c r="AK473" s="59"/>
      <c r="AL473" s="59"/>
      <c r="AM473" s="59"/>
      <c r="AN473" s="59"/>
      <c r="AO473" s="59"/>
      <c r="AP473" s="59"/>
      <c r="AQ473" s="59"/>
    </row>
    <row r="474" spans="37:43" ht="13.2" x14ac:dyDescent="0.25">
      <c r="AK474" s="59"/>
      <c r="AL474" s="59"/>
      <c r="AM474" s="59"/>
      <c r="AN474" s="59"/>
      <c r="AO474" s="59"/>
      <c r="AP474" s="59"/>
      <c r="AQ474" s="59"/>
    </row>
    <row r="475" spans="37:43" ht="13.2" x14ac:dyDescent="0.25">
      <c r="AK475" s="59"/>
      <c r="AL475" s="59"/>
      <c r="AM475" s="59"/>
      <c r="AN475" s="59"/>
      <c r="AO475" s="59"/>
      <c r="AP475" s="59"/>
      <c r="AQ475" s="59"/>
    </row>
    <row r="476" spans="37:43" ht="13.2" x14ac:dyDescent="0.25">
      <c r="AK476" s="59"/>
      <c r="AL476" s="59"/>
      <c r="AM476" s="59"/>
      <c r="AN476" s="59"/>
      <c r="AO476" s="59"/>
      <c r="AP476" s="59"/>
      <c r="AQ476" s="59"/>
    </row>
    <row r="477" spans="37:43" ht="13.2" x14ac:dyDescent="0.25">
      <c r="AK477" s="59"/>
      <c r="AL477" s="59"/>
      <c r="AM477" s="59"/>
      <c r="AN477" s="59"/>
      <c r="AO477" s="59"/>
      <c r="AP477" s="59"/>
      <c r="AQ477" s="59"/>
    </row>
    <row r="478" spans="37:43" ht="13.2" x14ac:dyDescent="0.25">
      <c r="AK478" s="59"/>
      <c r="AL478" s="59"/>
      <c r="AM478" s="59"/>
      <c r="AN478" s="59"/>
      <c r="AO478" s="59"/>
      <c r="AP478" s="59"/>
      <c r="AQ478" s="59"/>
    </row>
    <row r="479" spans="37:43" ht="13.2" x14ac:dyDescent="0.25">
      <c r="AK479" s="59"/>
      <c r="AL479" s="59"/>
      <c r="AM479" s="59"/>
      <c r="AN479" s="59"/>
      <c r="AO479" s="59"/>
      <c r="AP479" s="59"/>
      <c r="AQ479" s="59"/>
    </row>
    <row r="480" spans="37:43" ht="13.2" x14ac:dyDescent="0.25">
      <c r="AK480" s="59"/>
      <c r="AL480" s="59"/>
      <c r="AM480" s="59"/>
      <c r="AN480" s="59"/>
      <c r="AO480" s="59"/>
      <c r="AP480" s="59"/>
      <c r="AQ480" s="59"/>
    </row>
    <row r="481" spans="37:43" ht="13.2" x14ac:dyDescent="0.25">
      <c r="AK481" s="59"/>
      <c r="AL481" s="59"/>
      <c r="AM481" s="59"/>
      <c r="AN481" s="59"/>
      <c r="AO481" s="59"/>
      <c r="AP481" s="59"/>
      <c r="AQ481" s="59"/>
    </row>
    <row r="482" spans="37:43" ht="13.2" x14ac:dyDescent="0.25">
      <c r="AK482" s="59"/>
      <c r="AL482" s="59"/>
      <c r="AM482" s="59"/>
      <c r="AN482" s="59"/>
      <c r="AO482" s="59"/>
      <c r="AP482" s="59"/>
      <c r="AQ482" s="59"/>
    </row>
    <row r="483" spans="37:43" ht="13.2" x14ac:dyDescent="0.25">
      <c r="AK483" s="59"/>
      <c r="AL483" s="59"/>
      <c r="AM483" s="59"/>
      <c r="AN483" s="59"/>
      <c r="AO483" s="59"/>
      <c r="AP483" s="59"/>
      <c r="AQ483" s="59"/>
    </row>
    <row r="484" spans="37:43" ht="13.2" x14ac:dyDescent="0.25">
      <c r="AK484" s="59"/>
      <c r="AL484" s="59"/>
      <c r="AM484" s="59"/>
      <c r="AN484" s="59"/>
      <c r="AO484" s="59"/>
      <c r="AP484" s="59"/>
      <c r="AQ484" s="59"/>
    </row>
    <row r="485" spans="37:43" ht="13.2" x14ac:dyDescent="0.25">
      <c r="AK485" s="59"/>
      <c r="AL485" s="59"/>
      <c r="AM485" s="59"/>
      <c r="AN485" s="59"/>
      <c r="AO485" s="59"/>
      <c r="AP485" s="59"/>
      <c r="AQ485" s="59"/>
    </row>
    <row r="486" spans="37:43" ht="13.2" x14ac:dyDescent="0.25">
      <c r="AK486" s="59"/>
      <c r="AL486" s="59"/>
      <c r="AM486" s="59"/>
      <c r="AN486" s="59"/>
      <c r="AO486" s="59"/>
      <c r="AP486" s="59"/>
      <c r="AQ486" s="59"/>
    </row>
    <row r="487" spans="37:43" ht="13.2" x14ac:dyDescent="0.25">
      <c r="AK487" s="59"/>
      <c r="AL487" s="59"/>
      <c r="AM487" s="59"/>
      <c r="AN487" s="59"/>
      <c r="AO487" s="59"/>
      <c r="AP487" s="59"/>
      <c r="AQ487" s="59"/>
    </row>
    <row r="488" spans="37:43" ht="13.2" x14ac:dyDescent="0.25">
      <c r="AK488" s="59"/>
      <c r="AL488" s="59"/>
      <c r="AM488" s="59"/>
      <c r="AN488" s="59"/>
      <c r="AO488" s="59"/>
      <c r="AP488" s="59"/>
      <c r="AQ488" s="59"/>
    </row>
    <row r="489" spans="37:43" ht="13.2" x14ac:dyDescent="0.25">
      <c r="AK489" s="59"/>
      <c r="AL489" s="59"/>
      <c r="AM489" s="59"/>
      <c r="AN489" s="59"/>
      <c r="AO489" s="59"/>
      <c r="AP489" s="59"/>
      <c r="AQ489" s="59"/>
    </row>
    <row r="490" spans="37:43" ht="13.2" x14ac:dyDescent="0.25">
      <c r="AK490" s="59"/>
      <c r="AL490" s="59"/>
      <c r="AM490" s="59"/>
      <c r="AN490" s="59"/>
      <c r="AO490" s="59"/>
      <c r="AP490" s="59"/>
      <c r="AQ490" s="59"/>
    </row>
    <row r="491" spans="37:43" ht="13.2" x14ac:dyDescent="0.25">
      <c r="AK491" s="59"/>
      <c r="AL491" s="59"/>
      <c r="AM491" s="59"/>
      <c r="AN491" s="59"/>
      <c r="AO491" s="59"/>
      <c r="AP491" s="59"/>
      <c r="AQ491" s="59"/>
    </row>
    <row r="492" spans="37:43" ht="13.2" x14ac:dyDescent="0.25">
      <c r="AK492" s="59"/>
      <c r="AL492" s="59"/>
      <c r="AM492" s="59"/>
      <c r="AN492" s="59"/>
      <c r="AO492" s="59"/>
      <c r="AP492" s="59"/>
      <c r="AQ492" s="59"/>
    </row>
    <row r="493" spans="37:43" ht="13.2" x14ac:dyDescent="0.25">
      <c r="AK493" s="59"/>
      <c r="AL493" s="59"/>
      <c r="AM493" s="59"/>
      <c r="AN493" s="59"/>
      <c r="AO493" s="59"/>
      <c r="AP493" s="59"/>
      <c r="AQ493" s="59"/>
    </row>
    <row r="494" spans="37:43" ht="13.2" x14ac:dyDescent="0.25">
      <c r="AK494" s="59"/>
      <c r="AL494" s="59"/>
      <c r="AM494" s="59"/>
      <c r="AN494" s="59"/>
      <c r="AO494" s="59"/>
      <c r="AP494" s="59"/>
      <c r="AQ494" s="59"/>
    </row>
    <row r="495" spans="37:43" ht="13.2" x14ac:dyDescent="0.25">
      <c r="AK495" s="59"/>
      <c r="AL495" s="59"/>
      <c r="AM495" s="59"/>
      <c r="AN495" s="59"/>
      <c r="AO495" s="59"/>
      <c r="AP495" s="59"/>
      <c r="AQ495" s="59"/>
    </row>
    <row r="496" spans="37:43" ht="13.2" x14ac:dyDescent="0.25">
      <c r="AK496" s="59"/>
      <c r="AL496" s="59"/>
      <c r="AM496" s="59"/>
      <c r="AN496" s="59"/>
      <c r="AO496" s="59"/>
      <c r="AP496" s="59"/>
      <c r="AQ496" s="59"/>
    </row>
    <row r="497" spans="37:43" ht="13.2" x14ac:dyDescent="0.25">
      <c r="AK497" s="59"/>
      <c r="AL497" s="59"/>
      <c r="AM497" s="59"/>
      <c r="AN497" s="59"/>
      <c r="AO497" s="59"/>
      <c r="AP497" s="59"/>
      <c r="AQ497" s="59"/>
    </row>
    <row r="498" spans="37:43" ht="13.2" x14ac:dyDescent="0.25">
      <c r="AK498" s="59"/>
      <c r="AL498" s="59"/>
      <c r="AM498" s="59"/>
      <c r="AN498" s="59"/>
      <c r="AO498" s="59"/>
      <c r="AP498" s="59"/>
      <c r="AQ498" s="59"/>
    </row>
    <row r="499" spans="37:43" ht="13.2" x14ac:dyDescent="0.25">
      <c r="AK499" s="59"/>
      <c r="AL499" s="59"/>
      <c r="AM499" s="59"/>
      <c r="AN499" s="59"/>
      <c r="AO499" s="59"/>
      <c r="AP499" s="59"/>
      <c r="AQ499" s="59"/>
    </row>
    <row r="500" spans="37:43" ht="13.2" x14ac:dyDescent="0.25">
      <c r="AK500" s="59"/>
      <c r="AL500" s="59"/>
      <c r="AM500" s="59"/>
      <c r="AN500" s="59"/>
      <c r="AO500" s="59"/>
      <c r="AP500" s="59"/>
      <c r="AQ500" s="59"/>
    </row>
    <row r="501" spans="37:43" ht="13.2" x14ac:dyDescent="0.25">
      <c r="AK501" s="59"/>
      <c r="AL501" s="59"/>
      <c r="AM501" s="59"/>
      <c r="AN501" s="59"/>
      <c r="AO501" s="59"/>
      <c r="AP501" s="59"/>
      <c r="AQ501" s="59"/>
    </row>
    <row r="502" spans="37:43" ht="13.2" x14ac:dyDescent="0.25">
      <c r="AK502" s="59"/>
      <c r="AL502" s="59"/>
      <c r="AM502" s="59"/>
      <c r="AN502" s="59"/>
      <c r="AO502" s="59"/>
      <c r="AP502" s="59"/>
      <c r="AQ502" s="59"/>
    </row>
    <row r="503" spans="37:43" ht="13.2" x14ac:dyDescent="0.25">
      <c r="AK503" s="59"/>
      <c r="AL503" s="59"/>
      <c r="AM503" s="59"/>
      <c r="AN503" s="59"/>
      <c r="AO503" s="59"/>
      <c r="AP503" s="59"/>
      <c r="AQ503" s="59"/>
    </row>
    <row r="504" spans="37:43" ht="13.2" x14ac:dyDescent="0.25">
      <c r="AK504" s="59"/>
      <c r="AL504" s="59"/>
      <c r="AM504" s="59"/>
      <c r="AN504" s="59"/>
      <c r="AO504" s="59"/>
      <c r="AP504" s="59"/>
      <c r="AQ504" s="59"/>
    </row>
    <row r="505" spans="37:43" ht="13.2" x14ac:dyDescent="0.25">
      <c r="AK505" s="59"/>
      <c r="AL505" s="59"/>
      <c r="AM505" s="59"/>
      <c r="AN505" s="59"/>
      <c r="AO505" s="59"/>
      <c r="AP505" s="59"/>
      <c r="AQ505" s="59"/>
    </row>
    <row r="506" spans="37:43" ht="13.2" x14ac:dyDescent="0.25">
      <c r="AK506" s="59"/>
      <c r="AL506" s="59"/>
      <c r="AM506" s="59"/>
      <c r="AN506" s="59"/>
      <c r="AO506" s="59"/>
      <c r="AP506" s="59"/>
      <c r="AQ506" s="59"/>
    </row>
    <row r="507" spans="37:43" ht="13.2" x14ac:dyDescent="0.25">
      <c r="AK507" s="59"/>
      <c r="AL507" s="59"/>
      <c r="AM507" s="59"/>
      <c r="AN507" s="59"/>
      <c r="AO507" s="59"/>
      <c r="AP507" s="59"/>
      <c r="AQ507" s="59"/>
    </row>
    <row r="508" spans="37:43" ht="13.2" x14ac:dyDescent="0.25">
      <c r="AK508" s="59"/>
      <c r="AL508" s="59"/>
      <c r="AM508" s="59"/>
      <c r="AN508" s="59"/>
      <c r="AO508" s="59"/>
      <c r="AP508" s="59"/>
      <c r="AQ508" s="59"/>
    </row>
    <row r="509" spans="37:43" ht="13.2" x14ac:dyDescent="0.25">
      <c r="AK509" s="59"/>
      <c r="AL509" s="59"/>
      <c r="AM509" s="59"/>
      <c r="AN509" s="59"/>
      <c r="AO509" s="59"/>
      <c r="AP509" s="59"/>
      <c r="AQ509" s="59"/>
    </row>
    <row r="510" spans="37:43" ht="13.2" x14ac:dyDescent="0.25">
      <c r="AK510" s="59"/>
      <c r="AL510" s="59"/>
      <c r="AM510" s="59"/>
      <c r="AN510" s="59"/>
      <c r="AO510" s="59"/>
      <c r="AP510" s="59"/>
      <c r="AQ510" s="59"/>
    </row>
    <row r="511" spans="37:43" ht="13.2" x14ac:dyDescent="0.25">
      <c r="AK511" s="59"/>
      <c r="AL511" s="59"/>
      <c r="AM511" s="59"/>
      <c r="AN511" s="59"/>
      <c r="AO511" s="59"/>
      <c r="AP511" s="59"/>
      <c r="AQ511" s="59"/>
    </row>
    <row r="512" spans="37:43" ht="13.2" x14ac:dyDescent="0.25">
      <c r="AK512" s="59"/>
      <c r="AL512" s="59"/>
      <c r="AM512" s="59"/>
      <c r="AN512" s="59"/>
      <c r="AO512" s="59"/>
      <c r="AP512" s="59"/>
      <c r="AQ512" s="59"/>
    </row>
    <row r="513" spans="37:43" ht="13.2" x14ac:dyDescent="0.25">
      <c r="AK513" s="59"/>
      <c r="AL513" s="59"/>
      <c r="AM513" s="59"/>
      <c r="AN513" s="59"/>
      <c r="AO513" s="59"/>
      <c r="AP513" s="59"/>
      <c r="AQ513" s="59"/>
    </row>
    <row r="514" spans="37:43" ht="13.2" x14ac:dyDescent="0.25">
      <c r="AK514" s="59"/>
      <c r="AL514" s="59"/>
      <c r="AM514" s="59"/>
      <c r="AN514" s="59"/>
      <c r="AO514" s="59"/>
      <c r="AP514" s="59"/>
      <c r="AQ514" s="59"/>
    </row>
    <row r="515" spans="37:43" ht="13.2" x14ac:dyDescent="0.25">
      <c r="AK515" s="59"/>
      <c r="AL515" s="59"/>
      <c r="AM515" s="59"/>
      <c r="AN515" s="59"/>
      <c r="AO515" s="59"/>
      <c r="AP515" s="59"/>
      <c r="AQ515" s="59"/>
    </row>
    <row r="516" spans="37:43" ht="13.2" x14ac:dyDescent="0.25">
      <c r="AK516" s="59"/>
      <c r="AL516" s="59"/>
      <c r="AM516" s="59"/>
      <c r="AN516" s="59"/>
      <c r="AO516" s="59"/>
      <c r="AP516" s="59"/>
      <c r="AQ516" s="59"/>
    </row>
    <row r="517" spans="37:43" ht="13.2" x14ac:dyDescent="0.25">
      <c r="AK517" s="59"/>
      <c r="AL517" s="59"/>
      <c r="AM517" s="59"/>
      <c r="AN517" s="59"/>
      <c r="AO517" s="59"/>
      <c r="AP517" s="59"/>
      <c r="AQ517" s="59"/>
    </row>
    <row r="518" spans="37:43" ht="13.2" x14ac:dyDescent="0.25">
      <c r="AK518" s="59"/>
      <c r="AL518" s="59"/>
      <c r="AM518" s="59"/>
      <c r="AN518" s="59"/>
      <c r="AO518" s="59"/>
      <c r="AP518" s="59"/>
      <c r="AQ518" s="59"/>
    </row>
    <row r="519" spans="37:43" ht="13.2" x14ac:dyDescent="0.25">
      <c r="AK519" s="59"/>
      <c r="AL519" s="59"/>
      <c r="AM519" s="59"/>
      <c r="AN519" s="59"/>
      <c r="AO519" s="59"/>
      <c r="AP519" s="59"/>
      <c r="AQ519" s="59"/>
    </row>
    <row r="520" spans="37:43" ht="13.2" x14ac:dyDescent="0.25">
      <c r="AK520" s="59"/>
      <c r="AL520" s="59"/>
      <c r="AM520" s="59"/>
      <c r="AN520" s="59"/>
      <c r="AO520" s="59"/>
      <c r="AP520" s="59"/>
      <c r="AQ520" s="59"/>
    </row>
    <row r="521" spans="37:43" ht="13.2" x14ac:dyDescent="0.25">
      <c r="AK521" s="59"/>
      <c r="AL521" s="59"/>
      <c r="AM521" s="59"/>
      <c r="AN521" s="59"/>
      <c r="AO521" s="59"/>
      <c r="AP521" s="59"/>
      <c r="AQ521" s="59"/>
    </row>
    <row r="522" spans="37:43" ht="13.2" x14ac:dyDescent="0.25">
      <c r="AK522" s="59"/>
      <c r="AL522" s="59"/>
      <c r="AM522" s="59"/>
      <c r="AN522" s="59"/>
      <c r="AO522" s="59"/>
      <c r="AP522" s="59"/>
      <c r="AQ522" s="59"/>
    </row>
    <row r="523" spans="37:43" ht="13.2" x14ac:dyDescent="0.25">
      <c r="AK523" s="59"/>
      <c r="AL523" s="59"/>
      <c r="AM523" s="59"/>
      <c r="AN523" s="59"/>
      <c r="AO523" s="59"/>
      <c r="AP523" s="59"/>
      <c r="AQ523" s="59"/>
    </row>
    <row r="524" spans="37:43" ht="13.2" x14ac:dyDescent="0.25">
      <c r="AK524" s="59"/>
      <c r="AL524" s="59"/>
      <c r="AM524" s="59"/>
      <c r="AN524" s="59"/>
      <c r="AO524" s="59"/>
      <c r="AP524" s="59"/>
      <c r="AQ524" s="59"/>
    </row>
    <row r="525" spans="37:43" ht="13.2" x14ac:dyDescent="0.25">
      <c r="AK525" s="59"/>
      <c r="AL525" s="59"/>
      <c r="AM525" s="59"/>
      <c r="AN525" s="59"/>
      <c r="AO525" s="59"/>
      <c r="AP525" s="59"/>
      <c r="AQ525" s="59"/>
    </row>
    <row r="526" spans="37:43" ht="13.2" x14ac:dyDescent="0.25">
      <c r="AK526" s="59"/>
      <c r="AL526" s="59"/>
      <c r="AM526" s="59"/>
      <c r="AN526" s="59"/>
      <c r="AO526" s="59"/>
      <c r="AP526" s="59"/>
      <c r="AQ526" s="59"/>
    </row>
    <row r="527" spans="37:43" ht="13.2" x14ac:dyDescent="0.25">
      <c r="AK527" s="59"/>
      <c r="AL527" s="59"/>
      <c r="AM527" s="59"/>
      <c r="AN527" s="59"/>
      <c r="AO527" s="59"/>
      <c r="AP527" s="59"/>
      <c r="AQ527" s="59"/>
    </row>
    <row r="528" spans="37:43" ht="13.2" x14ac:dyDescent="0.25">
      <c r="AK528" s="59"/>
      <c r="AL528" s="59"/>
      <c r="AM528" s="59"/>
      <c r="AN528" s="59"/>
      <c r="AO528" s="59"/>
      <c r="AP528" s="59"/>
      <c r="AQ528" s="59"/>
    </row>
    <row r="529" spans="37:43" ht="13.2" x14ac:dyDescent="0.25">
      <c r="AK529" s="59"/>
      <c r="AL529" s="59"/>
      <c r="AM529" s="59"/>
      <c r="AN529" s="59"/>
      <c r="AO529" s="59"/>
      <c r="AP529" s="59"/>
      <c r="AQ529" s="59"/>
    </row>
    <row r="530" spans="37:43" ht="13.2" x14ac:dyDescent="0.25">
      <c r="AK530" s="59"/>
      <c r="AL530" s="59"/>
      <c r="AM530" s="59"/>
      <c r="AN530" s="59"/>
      <c r="AO530" s="59"/>
      <c r="AP530" s="59"/>
      <c r="AQ530" s="59"/>
    </row>
    <row r="531" spans="37:43" ht="13.2" x14ac:dyDescent="0.25">
      <c r="AK531" s="59"/>
      <c r="AL531" s="59"/>
      <c r="AM531" s="59"/>
      <c r="AN531" s="59"/>
      <c r="AO531" s="59"/>
      <c r="AP531" s="59"/>
      <c r="AQ531" s="59"/>
    </row>
    <row r="532" spans="37:43" ht="13.2" x14ac:dyDescent="0.25">
      <c r="AK532" s="59"/>
      <c r="AL532" s="59"/>
      <c r="AM532" s="59"/>
      <c r="AN532" s="59"/>
      <c r="AO532" s="59"/>
      <c r="AP532" s="59"/>
      <c r="AQ532" s="59"/>
    </row>
    <row r="533" spans="37:43" ht="13.2" x14ac:dyDescent="0.25">
      <c r="AK533" s="59"/>
      <c r="AL533" s="59"/>
      <c r="AM533" s="59"/>
      <c r="AN533" s="59"/>
      <c r="AO533" s="59"/>
      <c r="AP533" s="59"/>
      <c r="AQ533" s="59"/>
    </row>
    <row r="534" spans="37:43" ht="13.2" x14ac:dyDescent="0.25">
      <c r="AK534" s="59"/>
      <c r="AL534" s="59"/>
      <c r="AM534" s="59"/>
      <c r="AN534" s="59"/>
      <c r="AO534" s="59"/>
      <c r="AP534" s="59"/>
      <c r="AQ534" s="59"/>
    </row>
    <row r="535" spans="37:43" ht="13.2" x14ac:dyDescent="0.25">
      <c r="AK535" s="59"/>
      <c r="AL535" s="59"/>
      <c r="AM535" s="59"/>
      <c r="AN535" s="59"/>
      <c r="AO535" s="59"/>
      <c r="AP535" s="59"/>
      <c r="AQ535" s="59"/>
    </row>
    <row r="536" spans="37:43" ht="13.2" x14ac:dyDescent="0.25">
      <c r="AK536" s="59"/>
      <c r="AL536" s="59"/>
      <c r="AM536" s="59"/>
      <c r="AN536" s="59"/>
      <c r="AO536" s="59"/>
      <c r="AP536" s="59"/>
      <c r="AQ536" s="59"/>
    </row>
    <row r="537" spans="37:43" ht="13.2" x14ac:dyDescent="0.25">
      <c r="AK537" s="59"/>
      <c r="AL537" s="59"/>
      <c r="AM537" s="59"/>
      <c r="AN537" s="59"/>
      <c r="AO537" s="59"/>
      <c r="AP537" s="59"/>
      <c r="AQ537" s="59"/>
    </row>
    <row r="538" spans="37:43" ht="13.2" x14ac:dyDescent="0.25">
      <c r="AK538" s="59"/>
      <c r="AL538" s="59"/>
      <c r="AM538" s="59"/>
      <c r="AN538" s="59"/>
      <c r="AO538" s="59"/>
      <c r="AP538" s="59"/>
      <c r="AQ538" s="59"/>
    </row>
    <row r="539" spans="37:43" ht="13.2" x14ac:dyDescent="0.25">
      <c r="AK539" s="59"/>
      <c r="AL539" s="59"/>
      <c r="AM539" s="59"/>
      <c r="AN539" s="59"/>
      <c r="AO539" s="59"/>
      <c r="AP539" s="59"/>
      <c r="AQ539" s="59"/>
    </row>
    <row r="540" spans="37:43" ht="13.2" x14ac:dyDescent="0.25">
      <c r="AK540" s="59"/>
      <c r="AL540" s="59"/>
      <c r="AM540" s="59"/>
      <c r="AN540" s="59"/>
      <c r="AO540" s="59"/>
      <c r="AP540" s="59"/>
      <c r="AQ540" s="59"/>
    </row>
    <row r="541" spans="37:43" ht="13.2" x14ac:dyDescent="0.25">
      <c r="AK541" s="59"/>
      <c r="AL541" s="59"/>
      <c r="AM541" s="59"/>
      <c r="AN541" s="59"/>
      <c r="AO541" s="59"/>
      <c r="AP541" s="59"/>
      <c r="AQ541" s="59"/>
    </row>
    <row r="542" spans="37:43" ht="13.2" x14ac:dyDescent="0.25">
      <c r="AK542" s="59"/>
      <c r="AL542" s="59"/>
      <c r="AM542" s="59"/>
      <c r="AN542" s="59"/>
      <c r="AO542" s="59"/>
      <c r="AP542" s="59"/>
      <c r="AQ542" s="59"/>
    </row>
    <row r="543" spans="37:43" ht="13.2" x14ac:dyDescent="0.25">
      <c r="AK543" s="59"/>
      <c r="AL543" s="59"/>
      <c r="AM543" s="59"/>
      <c r="AN543" s="59"/>
      <c r="AO543" s="59"/>
      <c r="AP543" s="59"/>
      <c r="AQ543" s="59"/>
    </row>
    <row r="544" spans="37:43" ht="13.2" x14ac:dyDescent="0.25">
      <c r="AK544" s="59"/>
      <c r="AL544" s="59"/>
      <c r="AM544" s="59"/>
      <c r="AN544" s="59"/>
      <c r="AO544" s="59"/>
      <c r="AP544" s="59"/>
      <c r="AQ544" s="59"/>
    </row>
    <row r="545" spans="37:43" ht="13.2" x14ac:dyDescent="0.25">
      <c r="AK545" s="59"/>
      <c r="AL545" s="59"/>
      <c r="AM545" s="59"/>
      <c r="AN545" s="59"/>
      <c r="AO545" s="59"/>
      <c r="AP545" s="59"/>
      <c r="AQ545" s="59"/>
    </row>
    <row r="546" spans="37:43" ht="13.2" x14ac:dyDescent="0.25">
      <c r="AK546" s="59"/>
      <c r="AL546" s="59"/>
      <c r="AM546" s="59"/>
      <c r="AN546" s="59"/>
      <c r="AO546" s="59"/>
      <c r="AP546" s="59"/>
      <c r="AQ546" s="59"/>
    </row>
    <row r="547" spans="37:43" ht="13.2" x14ac:dyDescent="0.25">
      <c r="AK547" s="59"/>
      <c r="AL547" s="59"/>
      <c r="AM547" s="59"/>
      <c r="AN547" s="59"/>
      <c r="AO547" s="59"/>
      <c r="AP547" s="59"/>
      <c r="AQ547" s="59"/>
    </row>
    <row r="548" spans="37:43" ht="13.2" x14ac:dyDescent="0.25">
      <c r="AK548" s="59"/>
      <c r="AL548" s="59"/>
      <c r="AM548" s="59"/>
      <c r="AN548" s="59"/>
      <c r="AO548" s="59"/>
      <c r="AP548" s="59"/>
      <c r="AQ548" s="59"/>
    </row>
    <row r="549" spans="37:43" ht="13.2" x14ac:dyDescent="0.25">
      <c r="AK549" s="59"/>
      <c r="AL549" s="59"/>
      <c r="AM549" s="59"/>
      <c r="AN549" s="59"/>
      <c r="AO549" s="59"/>
      <c r="AP549" s="59"/>
      <c r="AQ549" s="59"/>
    </row>
    <row r="550" spans="37:43" ht="13.2" x14ac:dyDescent="0.25">
      <c r="AK550" s="59"/>
      <c r="AL550" s="59"/>
      <c r="AM550" s="59"/>
      <c r="AN550" s="59"/>
      <c r="AO550" s="59"/>
      <c r="AP550" s="59"/>
      <c r="AQ550" s="59"/>
    </row>
    <row r="551" spans="37:43" ht="13.2" x14ac:dyDescent="0.25">
      <c r="AK551" s="59"/>
      <c r="AL551" s="59"/>
      <c r="AM551" s="59"/>
      <c r="AN551" s="59"/>
      <c r="AO551" s="59"/>
      <c r="AP551" s="59"/>
      <c r="AQ551" s="59"/>
    </row>
    <row r="552" spans="37:43" ht="13.2" x14ac:dyDescent="0.25">
      <c r="AK552" s="59"/>
      <c r="AL552" s="59"/>
      <c r="AM552" s="59"/>
      <c r="AN552" s="59"/>
      <c r="AO552" s="59"/>
      <c r="AP552" s="59"/>
      <c r="AQ552" s="59"/>
    </row>
    <row r="553" spans="37:43" ht="13.2" x14ac:dyDescent="0.25">
      <c r="AK553" s="59"/>
      <c r="AL553" s="59"/>
      <c r="AM553" s="59"/>
      <c r="AN553" s="59"/>
      <c r="AO553" s="59"/>
      <c r="AP553" s="59"/>
      <c r="AQ553" s="59"/>
    </row>
    <row r="554" spans="37:43" ht="13.2" x14ac:dyDescent="0.25">
      <c r="AK554" s="59"/>
      <c r="AL554" s="59"/>
      <c r="AM554" s="59"/>
      <c r="AN554" s="59"/>
      <c r="AO554" s="59"/>
      <c r="AP554" s="59"/>
      <c r="AQ554" s="59"/>
    </row>
    <row r="555" spans="37:43" ht="13.2" x14ac:dyDescent="0.25">
      <c r="AK555" s="59"/>
      <c r="AL555" s="59"/>
      <c r="AM555" s="59"/>
      <c r="AN555" s="59"/>
      <c r="AO555" s="59"/>
      <c r="AP555" s="59"/>
      <c r="AQ555" s="59"/>
    </row>
    <row r="556" spans="37:43" ht="13.2" x14ac:dyDescent="0.25">
      <c r="AK556" s="59"/>
      <c r="AL556" s="59"/>
      <c r="AM556" s="59"/>
      <c r="AN556" s="59"/>
      <c r="AO556" s="59"/>
      <c r="AP556" s="59"/>
      <c r="AQ556" s="59"/>
    </row>
    <row r="557" spans="37:43" ht="13.2" x14ac:dyDescent="0.25">
      <c r="AK557" s="59"/>
      <c r="AL557" s="59"/>
      <c r="AM557" s="59"/>
      <c r="AN557" s="59"/>
      <c r="AO557" s="59"/>
      <c r="AP557" s="59"/>
      <c r="AQ557" s="59"/>
    </row>
    <row r="558" spans="37:43" ht="13.2" x14ac:dyDescent="0.25">
      <c r="AK558" s="59"/>
      <c r="AL558" s="59"/>
      <c r="AM558" s="59"/>
      <c r="AN558" s="59"/>
      <c r="AO558" s="59"/>
      <c r="AP558" s="59"/>
      <c r="AQ558" s="59"/>
    </row>
    <row r="559" spans="37:43" ht="13.2" x14ac:dyDescent="0.25">
      <c r="AK559" s="59"/>
      <c r="AL559" s="59"/>
      <c r="AM559" s="59"/>
      <c r="AN559" s="59"/>
      <c r="AO559" s="59"/>
      <c r="AP559" s="59"/>
      <c r="AQ559" s="59"/>
    </row>
    <row r="560" spans="37:43" ht="13.2" x14ac:dyDescent="0.25">
      <c r="AK560" s="59"/>
      <c r="AL560" s="59"/>
      <c r="AM560" s="59"/>
      <c r="AN560" s="59"/>
      <c r="AO560" s="59"/>
      <c r="AP560" s="59"/>
      <c r="AQ560" s="59"/>
    </row>
    <row r="561" spans="37:43" ht="13.2" x14ac:dyDescent="0.25">
      <c r="AK561" s="59"/>
      <c r="AL561" s="59"/>
      <c r="AM561" s="59"/>
      <c r="AN561" s="59"/>
      <c r="AO561" s="59"/>
      <c r="AP561" s="59"/>
      <c r="AQ561" s="59"/>
    </row>
    <row r="562" spans="37:43" ht="13.2" x14ac:dyDescent="0.25">
      <c r="AK562" s="59"/>
      <c r="AL562" s="59"/>
      <c r="AM562" s="59"/>
      <c r="AN562" s="59"/>
      <c r="AO562" s="59"/>
      <c r="AP562" s="59"/>
      <c r="AQ562" s="59"/>
    </row>
    <row r="563" spans="37:43" ht="13.2" x14ac:dyDescent="0.25">
      <c r="AK563" s="59"/>
      <c r="AL563" s="59"/>
      <c r="AM563" s="59"/>
      <c r="AN563" s="59"/>
      <c r="AO563" s="59"/>
      <c r="AP563" s="59"/>
      <c r="AQ563" s="59"/>
    </row>
    <row r="564" spans="37:43" ht="13.2" x14ac:dyDescent="0.25">
      <c r="AK564" s="59"/>
      <c r="AL564" s="59"/>
      <c r="AM564" s="59"/>
      <c r="AN564" s="59"/>
      <c r="AO564" s="59"/>
      <c r="AP564" s="59"/>
      <c r="AQ564" s="59"/>
    </row>
    <row r="565" spans="37:43" ht="13.2" x14ac:dyDescent="0.25">
      <c r="AK565" s="59"/>
      <c r="AL565" s="59"/>
      <c r="AM565" s="59"/>
      <c r="AN565" s="59"/>
      <c r="AO565" s="59"/>
      <c r="AP565" s="59"/>
      <c r="AQ565" s="59"/>
    </row>
    <row r="566" spans="37:43" ht="13.2" x14ac:dyDescent="0.25">
      <c r="AK566" s="59"/>
      <c r="AL566" s="59"/>
      <c r="AM566" s="59"/>
      <c r="AN566" s="59"/>
      <c r="AO566" s="59"/>
      <c r="AP566" s="59"/>
      <c r="AQ566" s="59"/>
    </row>
    <row r="567" spans="37:43" ht="13.2" x14ac:dyDescent="0.25">
      <c r="AK567" s="59"/>
      <c r="AL567" s="59"/>
      <c r="AM567" s="59"/>
      <c r="AN567" s="59"/>
      <c r="AO567" s="59"/>
      <c r="AP567" s="59"/>
      <c r="AQ567" s="59"/>
    </row>
    <row r="568" spans="37:43" ht="13.2" x14ac:dyDescent="0.25">
      <c r="AK568" s="59"/>
      <c r="AL568" s="59"/>
      <c r="AM568" s="59"/>
      <c r="AN568" s="59"/>
      <c r="AO568" s="59"/>
      <c r="AP568" s="59"/>
      <c r="AQ568" s="59"/>
    </row>
    <row r="569" spans="37:43" ht="13.2" x14ac:dyDescent="0.25">
      <c r="AK569" s="59"/>
      <c r="AL569" s="59"/>
      <c r="AM569" s="59"/>
      <c r="AN569" s="59"/>
      <c r="AO569" s="59"/>
      <c r="AP569" s="59"/>
      <c r="AQ569" s="59"/>
    </row>
    <row r="570" spans="37:43" ht="13.2" x14ac:dyDescent="0.25">
      <c r="AK570" s="59"/>
      <c r="AL570" s="59"/>
      <c r="AM570" s="59"/>
      <c r="AN570" s="59"/>
      <c r="AO570" s="59"/>
      <c r="AP570" s="59"/>
      <c r="AQ570" s="59"/>
    </row>
    <row r="571" spans="37:43" ht="13.2" x14ac:dyDescent="0.25">
      <c r="AK571" s="59"/>
      <c r="AL571" s="59"/>
      <c r="AM571" s="59"/>
      <c r="AN571" s="59"/>
      <c r="AO571" s="59"/>
      <c r="AP571" s="59"/>
      <c r="AQ571" s="59"/>
    </row>
    <row r="572" spans="37:43" ht="13.2" x14ac:dyDescent="0.25">
      <c r="AK572" s="59"/>
      <c r="AL572" s="59"/>
      <c r="AM572" s="59"/>
      <c r="AN572" s="59"/>
      <c r="AO572" s="59"/>
      <c r="AP572" s="59"/>
      <c r="AQ572" s="59"/>
    </row>
    <row r="573" spans="37:43" ht="13.2" x14ac:dyDescent="0.25">
      <c r="AK573" s="59"/>
      <c r="AL573" s="59"/>
      <c r="AM573" s="59"/>
      <c r="AN573" s="59"/>
      <c r="AO573" s="59"/>
      <c r="AP573" s="59"/>
      <c r="AQ573" s="59"/>
    </row>
    <row r="574" spans="37:43" ht="13.2" x14ac:dyDescent="0.25">
      <c r="AK574" s="59"/>
      <c r="AL574" s="59"/>
      <c r="AM574" s="59"/>
      <c r="AN574" s="59"/>
      <c r="AO574" s="59"/>
      <c r="AP574" s="59"/>
      <c r="AQ574" s="59"/>
    </row>
    <row r="575" spans="37:43" ht="13.2" x14ac:dyDescent="0.25">
      <c r="AK575" s="59"/>
      <c r="AL575" s="59"/>
      <c r="AM575" s="59"/>
      <c r="AN575" s="59"/>
      <c r="AO575" s="59"/>
      <c r="AP575" s="59"/>
      <c r="AQ575" s="59"/>
    </row>
    <row r="576" spans="37:43" ht="13.2" x14ac:dyDescent="0.25">
      <c r="AK576" s="59"/>
      <c r="AL576" s="59"/>
      <c r="AM576" s="59"/>
      <c r="AN576" s="59"/>
      <c r="AO576" s="59"/>
      <c r="AP576" s="59"/>
      <c r="AQ576" s="59"/>
    </row>
    <row r="577" spans="37:43" ht="13.2" x14ac:dyDescent="0.25">
      <c r="AK577" s="59"/>
      <c r="AL577" s="59"/>
      <c r="AM577" s="59"/>
      <c r="AN577" s="59"/>
      <c r="AO577" s="59"/>
      <c r="AP577" s="59"/>
      <c r="AQ577" s="59"/>
    </row>
    <row r="578" spans="37:43" ht="13.2" x14ac:dyDescent="0.25">
      <c r="AK578" s="59"/>
      <c r="AL578" s="59"/>
      <c r="AM578" s="59"/>
      <c r="AN578" s="59"/>
      <c r="AO578" s="59"/>
      <c r="AP578" s="59"/>
      <c r="AQ578" s="59"/>
    </row>
    <row r="579" spans="37:43" ht="13.2" x14ac:dyDescent="0.25">
      <c r="AK579" s="59"/>
      <c r="AL579" s="59"/>
      <c r="AM579" s="59"/>
      <c r="AN579" s="59"/>
      <c r="AO579" s="59"/>
      <c r="AP579" s="59"/>
      <c r="AQ579" s="59"/>
    </row>
    <row r="580" spans="37:43" ht="13.2" x14ac:dyDescent="0.25">
      <c r="AK580" s="59"/>
      <c r="AL580" s="59"/>
      <c r="AM580" s="59"/>
      <c r="AN580" s="59"/>
      <c r="AO580" s="59"/>
      <c r="AP580" s="59"/>
      <c r="AQ580" s="59"/>
    </row>
    <row r="581" spans="37:43" ht="13.2" x14ac:dyDescent="0.25">
      <c r="AK581" s="59"/>
      <c r="AL581" s="59"/>
      <c r="AM581" s="59"/>
      <c r="AN581" s="59"/>
      <c r="AO581" s="59"/>
      <c r="AP581" s="59"/>
      <c r="AQ581" s="59"/>
    </row>
    <row r="582" spans="37:43" ht="13.2" x14ac:dyDescent="0.25">
      <c r="AK582" s="59"/>
      <c r="AL582" s="59"/>
      <c r="AM582" s="59"/>
      <c r="AN582" s="59"/>
      <c r="AO582" s="59"/>
      <c r="AP582" s="59"/>
      <c r="AQ582" s="59"/>
    </row>
    <row r="583" spans="37:43" ht="13.2" x14ac:dyDescent="0.25">
      <c r="AK583" s="59"/>
      <c r="AL583" s="59"/>
      <c r="AM583" s="59"/>
      <c r="AN583" s="59"/>
      <c r="AO583" s="59"/>
      <c r="AP583" s="59"/>
      <c r="AQ583" s="59"/>
    </row>
    <row r="584" spans="37:43" ht="13.2" x14ac:dyDescent="0.25">
      <c r="AK584" s="59"/>
      <c r="AL584" s="59"/>
      <c r="AM584" s="59"/>
      <c r="AN584" s="59"/>
      <c r="AO584" s="59"/>
      <c r="AP584" s="59"/>
      <c r="AQ584" s="59"/>
    </row>
    <row r="585" spans="37:43" ht="13.2" x14ac:dyDescent="0.25">
      <c r="AK585" s="59"/>
      <c r="AL585" s="59"/>
      <c r="AM585" s="59"/>
      <c r="AN585" s="59"/>
      <c r="AO585" s="59"/>
      <c r="AP585" s="59"/>
      <c r="AQ585" s="59"/>
    </row>
    <row r="586" spans="37:43" ht="13.2" x14ac:dyDescent="0.25">
      <c r="AK586" s="59"/>
      <c r="AL586" s="59"/>
      <c r="AM586" s="59"/>
      <c r="AN586" s="59"/>
      <c r="AO586" s="59"/>
      <c r="AP586" s="59"/>
      <c r="AQ586" s="59"/>
    </row>
    <row r="587" spans="37:43" ht="13.2" x14ac:dyDescent="0.25">
      <c r="AK587" s="59"/>
      <c r="AL587" s="59"/>
      <c r="AM587" s="59"/>
      <c r="AN587" s="59"/>
      <c r="AO587" s="59"/>
      <c r="AP587" s="59"/>
      <c r="AQ587" s="59"/>
    </row>
    <row r="588" spans="37:43" ht="13.2" x14ac:dyDescent="0.25">
      <c r="AK588" s="59"/>
      <c r="AL588" s="59"/>
      <c r="AM588" s="59"/>
      <c r="AN588" s="59"/>
      <c r="AO588" s="59"/>
      <c r="AP588" s="59"/>
      <c r="AQ588" s="59"/>
    </row>
    <row r="589" spans="37:43" ht="13.2" x14ac:dyDescent="0.25">
      <c r="AK589" s="59"/>
      <c r="AL589" s="59"/>
      <c r="AM589" s="59"/>
      <c r="AN589" s="59"/>
      <c r="AO589" s="59"/>
      <c r="AP589" s="59"/>
      <c r="AQ589" s="59"/>
    </row>
    <row r="590" spans="37:43" ht="13.2" x14ac:dyDescent="0.25">
      <c r="AK590" s="59"/>
      <c r="AL590" s="59"/>
      <c r="AM590" s="59"/>
      <c r="AN590" s="59"/>
      <c r="AO590" s="59"/>
      <c r="AP590" s="59"/>
      <c r="AQ590" s="59"/>
    </row>
    <row r="591" spans="37:43" ht="13.2" x14ac:dyDescent="0.25">
      <c r="AK591" s="59"/>
      <c r="AL591" s="59"/>
      <c r="AM591" s="59"/>
      <c r="AN591" s="59"/>
      <c r="AO591" s="59"/>
      <c r="AP591" s="59"/>
      <c r="AQ591" s="59"/>
    </row>
    <row r="592" spans="37:43" ht="13.2" x14ac:dyDescent="0.25">
      <c r="AK592" s="59"/>
      <c r="AL592" s="59"/>
      <c r="AM592" s="59"/>
      <c r="AN592" s="59"/>
      <c r="AO592" s="59"/>
      <c r="AP592" s="59"/>
      <c r="AQ592" s="59"/>
    </row>
    <row r="593" spans="37:43" ht="13.2" x14ac:dyDescent="0.25">
      <c r="AK593" s="59"/>
      <c r="AL593" s="59"/>
      <c r="AM593" s="59"/>
      <c r="AN593" s="59"/>
      <c r="AO593" s="59"/>
      <c r="AP593" s="59"/>
      <c r="AQ593" s="59"/>
    </row>
    <row r="594" spans="37:43" ht="13.2" x14ac:dyDescent="0.25">
      <c r="AK594" s="59"/>
      <c r="AL594" s="59"/>
      <c r="AM594" s="59"/>
      <c r="AN594" s="59"/>
      <c r="AO594" s="59"/>
      <c r="AP594" s="59"/>
      <c r="AQ594" s="59"/>
    </row>
    <row r="595" spans="37:43" ht="13.2" x14ac:dyDescent="0.25">
      <c r="AK595" s="59"/>
      <c r="AL595" s="59"/>
      <c r="AM595" s="59"/>
      <c r="AN595" s="59"/>
      <c r="AO595" s="59"/>
      <c r="AP595" s="59"/>
      <c r="AQ595" s="59"/>
    </row>
    <row r="596" spans="37:43" ht="13.2" x14ac:dyDescent="0.25">
      <c r="AK596" s="59"/>
      <c r="AL596" s="59"/>
      <c r="AM596" s="59"/>
      <c r="AN596" s="59"/>
      <c r="AO596" s="59"/>
      <c r="AP596" s="59"/>
      <c r="AQ596" s="59"/>
    </row>
    <row r="597" spans="37:43" ht="13.2" x14ac:dyDescent="0.25">
      <c r="AK597" s="59"/>
      <c r="AL597" s="59"/>
      <c r="AM597" s="59"/>
      <c r="AN597" s="59"/>
      <c r="AO597" s="59"/>
      <c r="AP597" s="59"/>
      <c r="AQ597" s="59"/>
    </row>
    <row r="598" spans="37:43" ht="13.2" x14ac:dyDescent="0.25">
      <c r="AK598" s="59"/>
      <c r="AL598" s="59"/>
      <c r="AM598" s="59"/>
      <c r="AN598" s="59"/>
      <c r="AO598" s="59"/>
      <c r="AP598" s="59"/>
      <c r="AQ598" s="59"/>
    </row>
    <row r="599" spans="37:43" ht="13.2" x14ac:dyDescent="0.25">
      <c r="AK599" s="59"/>
      <c r="AL599" s="59"/>
      <c r="AM599" s="59"/>
      <c r="AN599" s="59"/>
      <c r="AO599" s="59"/>
      <c r="AP599" s="59"/>
      <c r="AQ599" s="59"/>
    </row>
    <row r="600" spans="37:43" ht="13.2" x14ac:dyDescent="0.25">
      <c r="AK600" s="59"/>
      <c r="AL600" s="59"/>
      <c r="AM600" s="59"/>
      <c r="AN600" s="59"/>
      <c r="AO600" s="59"/>
      <c r="AP600" s="59"/>
      <c r="AQ600" s="59"/>
    </row>
    <row r="601" spans="37:43" ht="13.2" x14ac:dyDescent="0.25">
      <c r="AK601" s="59"/>
      <c r="AL601" s="59"/>
      <c r="AM601" s="59"/>
      <c r="AN601" s="59"/>
      <c r="AO601" s="59"/>
      <c r="AP601" s="59"/>
      <c r="AQ601" s="59"/>
    </row>
    <row r="602" spans="37:43" ht="13.2" x14ac:dyDescent="0.25">
      <c r="AK602" s="59"/>
      <c r="AL602" s="59"/>
      <c r="AM602" s="59"/>
      <c r="AN602" s="59"/>
      <c r="AO602" s="59"/>
      <c r="AP602" s="59"/>
      <c r="AQ602" s="59"/>
    </row>
    <row r="603" spans="37:43" ht="13.2" x14ac:dyDescent="0.25">
      <c r="AK603" s="59"/>
      <c r="AL603" s="59"/>
      <c r="AM603" s="59"/>
      <c r="AN603" s="59"/>
      <c r="AO603" s="59"/>
      <c r="AP603" s="59"/>
      <c r="AQ603" s="59"/>
    </row>
    <row r="604" spans="37:43" ht="13.2" x14ac:dyDescent="0.25">
      <c r="AK604" s="59"/>
      <c r="AL604" s="59"/>
      <c r="AM604" s="59"/>
      <c r="AN604" s="59"/>
      <c r="AO604" s="59"/>
      <c r="AP604" s="59"/>
      <c r="AQ604" s="59"/>
    </row>
    <row r="605" spans="37:43" ht="13.2" x14ac:dyDescent="0.25">
      <c r="AK605" s="59"/>
      <c r="AL605" s="59"/>
      <c r="AM605" s="59"/>
      <c r="AN605" s="59"/>
      <c r="AO605" s="59"/>
      <c r="AP605" s="59"/>
      <c r="AQ605" s="59"/>
    </row>
    <row r="606" spans="37:43" ht="13.2" x14ac:dyDescent="0.25">
      <c r="AK606" s="59"/>
      <c r="AL606" s="59"/>
      <c r="AM606" s="59"/>
      <c r="AN606" s="59"/>
      <c r="AO606" s="59"/>
      <c r="AP606" s="59"/>
      <c r="AQ606" s="59"/>
    </row>
    <row r="607" spans="37:43" ht="13.2" x14ac:dyDescent="0.25">
      <c r="AK607" s="59"/>
      <c r="AL607" s="59"/>
      <c r="AM607" s="59"/>
      <c r="AN607" s="59"/>
      <c r="AO607" s="59"/>
      <c r="AP607" s="59"/>
      <c r="AQ607" s="59"/>
    </row>
    <row r="608" spans="37:43" ht="13.2" x14ac:dyDescent="0.25">
      <c r="AK608" s="59"/>
      <c r="AL608" s="59"/>
      <c r="AM608" s="59"/>
      <c r="AN608" s="59"/>
      <c r="AO608" s="59"/>
      <c r="AP608" s="59"/>
      <c r="AQ608" s="59"/>
    </row>
    <row r="609" spans="37:43" ht="13.2" x14ac:dyDescent="0.25">
      <c r="AK609" s="59"/>
      <c r="AL609" s="59"/>
      <c r="AM609" s="59"/>
      <c r="AN609" s="59"/>
      <c r="AO609" s="59"/>
      <c r="AP609" s="59"/>
      <c r="AQ609" s="59"/>
    </row>
    <row r="610" spans="37:43" ht="13.2" x14ac:dyDescent="0.25">
      <c r="AK610" s="59"/>
      <c r="AL610" s="59"/>
      <c r="AM610" s="59"/>
      <c r="AN610" s="59"/>
      <c r="AO610" s="59"/>
      <c r="AP610" s="59"/>
      <c r="AQ610" s="59"/>
    </row>
    <row r="611" spans="37:43" ht="13.2" x14ac:dyDescent="0.25">
      <c r="AK611" s="59"/>
      <c r="AL611" s="59"/>
      <c r="AM611" s="59"/>
      <c r="AN611" s="59"/>
      <c r="AO611" s="59"/>
      <c r="AP611" s="59"/>
      <c r="AQ611" s="59"/>
    </row>
    <row r="612" spans="37:43" ht="13.2" x14ac:dyDescent="0.25">
      <c r="AK612" s="59"/>
      <c r="AL612" s="59"/>
      <c r="AM612" s="59"/>
      <c r="AN612" s="59"/>
      <c r="AO612" s="59"/>
      <c r="AP612" s="59"/>
      <c r="AQ612" s="59"/>
    </row>
    <row r="613" spans="37:43" ht="13.2" x14ac:dyDescent="0.25">
      <c r="AK613" s="59"/>
      <c r="AL613" s="59"/>
      <c r="AM613" s="59"/>
      <c r="AN613" s="59"/>
      <c r="AO613" s="59"/>
      <c r="AP613" s="59"/>
      <c r="AQ613" s="59"/>
    </row>
    <row r="614" spans="37:43" ht="13.2" x14ac:dyDescent="0.25">
      <c r="AK614" s="59"/>
      <c r="AL614" s="59"/>
      <c r="AM614" s="59"/>
      <c r="AN614" s="59"/>
      <c r="AO614" s="59"/>
      <c r="AP614" s="59"/>
      <c r="AQ614" s="59"/>
    </row>
    <row r="615" spans="37:43" ht="13.2" x14ac:dyDescent="0.25">
      <c r="AK615" s="59"/>
      <c r="AL615" s="59"/>
      <c r="AM615" s="59"/>
      <c r="AN615" s="59"/>
      <c r="AO615" s="59"/>
      <c r="AP615" s="59"/>
      <c r="AQ615" s="59"/>
    </row>
    <row r="616" spans="37:43" ht="13.2" x14ac:dyDescent="0.25">
      <c r="AK616" s="59"/>
      <c r="AL616" s="59"/>
      <c r="AM616" s="59"/>
      <c r="AN616" s="59"/>
      <c r="AO616" s="59"/>
      <c r="AP616" s="59"/>
      <c r="AQ616" s="59"/>
    </row>
    <row r="617" spans="37:43" ht="13.2" x14ac:dyDescent="0.25">
      <c r="AK617" s="59"/>
      <c r="AL617" s="59"/>
      <c r="AM617" s="59"/>
      <c r="AN617" s="59"/>
      <c r="AO617" s="59"/>
      <c r="AP617" s="59"/>
      <c r="AQ617" s="59"/>
    </row>
    <row r="618" spans="37:43" ht="13.2" x14ac:dyDescent="0.25">
      <c r="AK618" s="59"/>
      <c r="AL618" s="59"/>
      <c r="AM618" s="59"/>
      <c r="AN618" s="59"/>
      <c r="AO618" s="59"/>
      <c r="AP618" s="59"/>
      <c r="AQ618" s="59"/>
    </row>
    <row r="619" spans="37:43" ht="13.2" x14ac:dyDescent="0.25">
      <c r="AK619" s="59"/>
      <c r="AL619" s="59"/>
      <c r="AM619" s="59"/>
      <c r="AN619" s="59"/>
      <c r="AO619" s="59"/>
      <c r="AP619" s="59"/>
      <c r="AQ619" s="59"/>
    </row>
    <row r="620" spans="37:43" ht="13.2" x14ac:dyDescent="0.25">
      <c r="AK620" s="59"/>
      <c r="AL620" s="59"/>
      <c r="AM620" s="59"/>
      <c r="AN620" s="59"/>
      <c r="AO620" s="59"/>
      <c r="AP620" s="59"/>
      <c r="AQ620" s="59"/>
    </row>
    <row r="621" spans="37:43" ht="13.2" x14ac:dyDescent="0.25">
      <c r="AK621" s="59"/>
      <c r="AL621" s="59"/>
      <c r="AM621" s="59"/>
      <c r="AN621" s="59"/>
      <c r="AO621" s="59"/>
      <c r="AP621" s="59"/>
      <c r="AQ621" s="59"/>
    </row>
    <row r="622" spans="37:43" ht="13.2" x14ac:dyDescent="0.25">
      <c r="AK622" s="59"/>
      <c r="AL622" s="59"/>
      <c r="AM622" s="59"/>
      <c r="AN622" s="59"/>
      <c r="AO622" s="59"/>
      <c r="AP622" s="59"/>
      <c r="AQ622" s="59"/>
    </row>
    <row r="623" spans="37:43" ht="13.2" x14ac:dyDescent="0.25">
      <c r="AK623" s="59"/>
      <c r="AL623" s="59"/>
      <c r="AM623" s="59"/>
      <c r="AN623" s="59"/>
      <c r="AO623" s="59"/>
      <c r="AP623" s="59"/>
      <c r="AQ623" s="59"/>
    </row>
    <row r="624" spans="37:43" ht="13.2" x14ac:dyDescent="0.25">
      <c r="AK624" s="59"/>
      <c r="AL624" s="59"/>
      <c r="AM624" s="59"/>
      <c r="AN624" s="59"/>
      <c r="AO624" s="59"/>
      <c r="AP624" s="59"/>
      <c r="AQ624" s="59"/>
    </row>
    <row r="625" spans="37:43" ht="13.2" x14ac:dyDescent="0.25">
      <c r="AK625" s="59"/>
      <c r="AL625" s="59"/>
      <c r="AM625" s="59"/>
      <c r="AN625" s="59"/>
      <c r="AO625" s="59"/>
      <c r="AP625" s="59"/>
      <c r="AQ625" s="59"/>
    </row>
    <row r="626" spans="37:43" ht="13.2" x14ac:dyDescent="0.25">
      <c r="AK626" s="59"/>
      <c r="AL626" s="59"/>
      <c r="AM626" s="59"/>
      <c r="AN626" s="59"/>
      <c r="AO626" s="59"/>
      <c r="AP626" s="59"/>
      <c r="AQ626" s="59"/>
    </row>
    <row r="627" spans="37:43" ht="13.2" x14ac:dyDescent="0.25">
      <c r="AK627" s="59"/>
      <c r="AL627" s="59"/>
      <c r="AM627" s="59"/>
      <c r="AN627" s="59"/>
      <c r="AO627" s="59"/>
      <c r="AP627" s="59"/>
      <c r="AQ627" s="59"/>
    </row>
    <row r="628" spans="37:43" ht="13.2" x14ac:dyDescent="0.25">
      <c r="AK628" s="59"/>
      <c r="AL628" s="59"/>
      <c r="AM628" s="59"/>
      <c r="AN628" s="59"/>
      <c r="AO628" s="59"/>
      <c r="AP628" s="59"/>
      <c r="AQ628" s="59"/>
    </row>
    <row r="629" spans="37:43" ht="13.2" x14ac:dyDescent="0.25">
      <c r="AK629" s="59"/>
      <c r="AL629" s="59"/>
      <c r="AM629" s="59"/>
      <c r="AN629" s="59"/>
      <c r="AO629" s="59"/>
      <c r="AP629" s="59"/>
      <c r="AQ629" s="59"/>
    </row>
    <row r="630" spans="37:43" ht="13.2" x14ac:dyDescent="0.25">
      <c r="AK630" s="59"/>
      <c r="AL630" s="59"/>
      <c r="AM630" s="59"/>
      <c r="AN630" s="59"/>
      <c r="AO630" s="59"/>
      <c r="AP630" s="59"/>
      <c r="AQ630" s="59"/>
    </row>
    <row r="631" spans="37:43" ht="13.2" x14ac:dyDescent="0.25">
      <c r="AK631" s="59"/>
      <c r="AL631" s="59"/>
      <c r="AM631" s="59"/>
      <c r="AN631" s="59"/>
      <c r="AO631" s="59"/>
      <c r="AP631" s="59"/>
      <c r="AQ631" s="59"/>
    </row>
    <row r="632" spans="37:43" ht="13.2" x14ac:dyDescent="0.25">
      <c r="AK632" s="59"/>
      <c r="AL632" s="59"/>
      <c r="AM632" s="59"/>
      <c r="AN632" s="59"/>
      <c r="AO632" s="59"/>
      <c r="AP632" s="59"/>
      <c r="AQ632" s="59"/>
    </row>
    <row r="633" spans="37:43" ht="13.2" x14ac:dyDescent="0.25">
      <c r="AK633" s="59"/>
      <c r="AL633" s="59"/>
      <c r="AM633" s="59"/>
      <c r="AN633" s="59"/>
      <c r="AO633" s="59"/>
      <c r="AP633" s="59"/>
      <c r="AQ633" s="59"/>
    </row>
    <row r="634" spans="37:43" ht="13.2" x14ac:dyDescent="0.25">
      <c r="AK634" s="59"/>
      <c r="AL634" s="59"/>
      <c r="AM634" s="59"/>
      <c r="AN634" s="59"/>
      <c r="AO634" s="59"/>
      <c r="AP634" s="59"/>
      <c r="AQ634" s="59"/>
    </row>
    <row r="635" spans="37:43" ht="13.2" x14ac:dyDescent="0.25">
      <c r="AK635" s="59"/>
      <c r="AL635" s="59"/>
      <c r="AM635" s="59"/>
      <c r="AN635" s="59"/>
      <c r="AO635" s="59"/>
      <c r="AP635" s="59"/>
      <c r="AQ635" s="59"/>
    </row>
    <row r="636" spans="37:43" ht="13.2" x14ac:dyDescent="0.25">
      <c r="AK636" s="59"/>
      <c r="AL636" s="59"/>
      <c r="AM636" s="59"/>
      <c r="AN636" s="59"/>
      <c r="AO636" s="59"/>
      <c r="AP636" s="59"/>
      <c r="AQ636" s="59"/>
    </row>
    <row r="637" spans="37:43" ht="13.2" x14ac:dyDescent="0.25">
      <c r="AK637" s="59"/>
      <c r="AL637" s="59"/>
      <c r="AM637" s="59"/>
      <c r="AN637" s="59"/>
      <c r="AO637" s="59"/>
      <c r="AP637" s="59"/>
      <c r="AQ637" s="59"/>
    </row>
    <row r="638" spans="37:43" ht="13.2" x14ac:dyDescent="0.25">
      <c r="AK638" s="59"/>
      <c r="AL638" s="59"/>
      <c r="AM638" s="59"/>
      <c r="AN638" s="59"/>
      <c r="AO638" s="59"/>
      <c r="AP638" s="59"/>
      <c r="AQ638" s="59"/>
    </row>
    <row r="639" spans="37:43" ht="13.2" x14ac:dyDescent="0.25">
      <c r="AK639" s="59"/>
      <c r="AL639" s="59"/>
      <c r="AM639" s="59"/>
      <c r="AN639" s="59"/>
      <c r="AO639" s="59"/>
      <c r="AP639" s="59"/>
      <c r="AQ639" s="59"/>
    </row>
    <row r="640" spans="37:43" ht="13.2" x14ac:dyDescent="0.25">
      <c r="AK640" s="59"/>
      <c r="AL640" s="59"/>
      <c r="AM640" s="59"/>
      <c r="AN640" s="59"/>
      <c r="AO640" s="59"/>
      <c r="AP640" s="59"/>
      <c r="AQ640" s="59"/>
    </row>
    <row r="641" spans="37:43" ht="13.2" x14ac:dyDescent="0.25">
      <c r="AK641" s="59"/>
      <c r="AL641" s="59"/>
      <c r="AM641" s="59"/>
      <c r="AN641" s="59"/>
      <c r="AO641" s="59"/>
      <c r="AP641" s="59"/>
      <c r="AQ641" s="59"/>
    </row>
    <row r="642" spans="37:43" ht="13.2" x14ac:dyDescent="0.25">
      <c r="AK642" s="59"/>
      <c r="AL642" s="59"/>
      <c r="AM642" s="59"/>
      <c r="AN642" s="59"/>
      <c r="AO642" s="59"/>
      <c r="AP642" s="59"/>
      <c r="AQ642" s="59"/>
    </row>
    <row r="643" spans="37:43" ht="13.2" x14ac:dyDescent="0.25">
      <c r="AK643" s="59"/>
      <c r="AL643" s="59"/>
      <c r="AM643" s="59"/>
      <c r="AN643" s="59"/>
      <c r="AO643" s="59"/>
      <c r="AP643" s="59"/>
      <c r="AQ643" s="59"/>
    </row>
    <row r="644" spans="37:43" ht="13.2" x14ac:dyDescent="0.25">
      <c r="AK644" s="59"/>
      <c r="AL644" s="59"/>
      <c r="AM644" s="59"/>
      <c r="AN644" s="59"/>
      <c r="AO644" s="59"/>
      <c r="AP644" s="59"/>
      <c r="AQ644" s="59"/>
    </row>
    <row r="645" spans="37:43" ht="13.2" x14ac:dyDescent="0.25">
      <c r="AK645" s="59"/>
      <c r="AL645" s="59"/>
      <c r="AM645" s="59"/>
      <c r="AN645" s="59"/>
      <c r="AO645" s="59"/>
      <c r="AP645" s="59"/>
      <c r="AQ645" s="59"/>
    </row>
    <row r="646" spans="37:43" ht="13.2" x14ac:dyDescent="0.25">
      <c r="AK646" s="59"/>
      <c r="AL646" s="59"/>
      <c r="AM646" s="59"/>
      <c r="AN646" s="59"/>
      <c r="AO646" s="59"/>
      <c r="AP646" s="59"/>
      <c r="AQ646" s="59"/>
    </row>
    <row r="647" spans="37:43" ht="13.2" x14ac:dyDescent="0.25">
      <c r="AK647" s="59"/>
      <c r="AL647" s="59"/>
      <c r="AM647" s="59"/>
      <c r="AN647" s="59"/>
      <c r="AO647" s="59"/>
      <c r="AP647" s="59"/>
      <c r="AQ647" s="59"/>
    </row>
    <row r="648" spans="37:43" ht="13.2" x14ac:dyDescent="0.25">
      <c r="AK648" s="59"/>
      <c r="AL648" s="59"/>
      <c r="AM648" s="59"/>
      <c r="AN648" s="59"/>
      <c r="AO648" s="59"/>
      <c r="AP648" s="59"/>
      <c r="AQ648" s="59"/>
    </row>
    <row r="649" spans="37:43" ht="13.2" x14ac:dyDescent="0.25">
      <c r="AK649" s="59"/>
      <c r="AL649" s="59"/>
      <c r="AM649" s="59"/>
      <c r="AN649" s="59"/>
      <c r="AO649" s="59"/>
      <c r="AP649" s="59"/>
      <c r="AQ649" s="59"/>
    </row>
    <row r="650" spans="37:43" ht="13.2" x14ac:dyDescent="0.25">
      <c r="AK650" s="59"/>
      <c r="AL650" s="59"/>
      <c r="AM650" s="59"/>
      <c r="AN650" s="59"/>
      <c r="AO650" s="59"/>
      <c r="AP650" s="59"/>
      <c r="AQ650" s="59"/>
    </row>
    <row r="651" spans="37:43" ht="13.2" x14ac:dyDescent="0.25">
      <c r="AK651" s="59"/>
      <c r="AL651" s="59"/>
      <c r="AM651" s="59"/>
      <c r="AN651" s="59"/>
      <c r="AO651" s="59"/>
      <c r="AP651" s="59"/>
      <c r="AQ651" s="59"/>
    </row>
    <row r="652" spans="37:43" ht="13.2" x14ac:dyDescent="0.25">
      <c r="AK652" s="59"/>
      <c r="AL652" s="59"/>
      <c r="AM652" s="59"/>
      <c r="AN652" s="59"/>
      <c r="AO652" s="59"/>
      <c r="AP652" s="59"/>
      <c r="AQ652" s="59"/>
    </row>
    <row r="653" spans="37:43" ht="13.2" x14ac:dyDescent="0.25">
      <c r="AK653" s="59"/>
      <c r="AL653" s="59"/>
      <c r="AM653" s="59"/>
      <c r="AN653" s="59"/>
      <c r="AO653" s="59"/>
      <c r="AP653" s="59"/>
      <c r="AQ653" s="59"/>
    </row>
    <row r="654" spans="37:43" ht="13.2" x14ac:dyDescent="0.25">
      <c r="AK654" s="59"/>
      <c r="AL654" s="59"/>
      <c r="AM654" s="59"/>
      <c r="AN654" s="59"/>
      <c r="AO654" s="59"/>
      <c r="AP654" s="59"/>
      <c r="AQ654" s="59"/>
    </row>
    <row r="655" spans="37:43" ht="13.2" x14ac:dyDescent="0.25">
      <c r="AK655" s="59"/>
      <c r="AL655" s="59"/>
      <c r="AM655" s="59"/>
      <c r="AN655" s="59"/>
      <c r="AO655" s="59"/>
      <c r="AP655" s="59"/>
      <c r="AQ655" s="59"/>
    </row>
    <row r="656" spans="37:43" ht="13.2" x14ac:dyDescent="0.25">
      <c r="AK656" s="59"/>
      <c r="AL656" s="59"/>
      <c r="AM656" s="59"/>
      <c r="AN656" s="59"/>
      <c r="AO656" s="59"/>
      <c r="AP656" s="59"/>
      <c r="AQ656" s="59"/>
    </row>
    <row r="657" spans="37:43" ht="13.2" x14ac:dyDescent="0.25">
      <c r="AK657" s="59"/>
      <c r="AL657" s="59"/>
      <c r="AM657" s="59"/>
      <c r="AN657" s="59"/>
      <c r="AO657" s="59"/>
      <c r="AP657" s="59"/>
      <c r="AQ657" s="59"/>
    </row>
    <row r="658" spans="37:43" ht="13.2" x14ac:dyDescent="0.25">
      <c r="AK658" s="59"/>
      <c r="AL658" s="59"/>
      <c r="AM658" s="59"/>
      <c r="AN658" s="59"/>
      <c r="AO658" s="59"/>
      <c r="AP658" s="59"/>
      <c r="AQ658" s="59"/>
    </row>
    <row r="659" spans="37:43" ht="13.2" x14ac:dyDescent="0.25">
      <c r="AK659" s="59"/>
      <c r="AL659" s="59"/>
      <c r="AM659" s="59"/>
      <c r="AN659" s="59"/>
      <c r="AO659" s="59"/>
      <c r="AP659" s="59"/>
      <c r="AQ659" s="59"/>
    </row>
    <row r="660" spans="37:43" ht="13.2" x14ac:dyDescent="0.25">
      <c r="AK660" s="59"/>
      <c r="AL660" s="59"/>
      <c r="AM660" s="59"/>
      <c r="AN660" s="59"/>
      <c r="AO660" s="59"/>
      <c r="AP660" s="59"/>
      <c r="AQ660" s="59"/>
    </row>
    <row r="661" spans="37:43" ht="13.2" x14ac:dyDescent="0.25">
      <c r="AK661" s="59"/>
      <c r="AL661" s="59"/>
      <c r="AM661" s="59"/>
      <c r="AN661" s="59"/>
      <c r="AO661" s="59"/>
      <c r="AP661" s="59"/>
      <c r="AQ661" s="59"/>
    </row>
    <row r="662" spans="37:43" ht="13.2" x14ac:dyDescent="0.25">
      <c r="AK662" s="59"/>
      <c r="AL662" s="59"/>
      <c r="AM662" s="59"/>
      <c r="AN662" s="59"/>
      <c r="AO662" s="59"/>
      <c r="AP662" s="59"/>
      <c r="AQ662" s="59"/>
    </row>
    <row r="663" spans="37:43" ht="13.2" x14ac:dyDescent="0.25">
      <c r="AK663" s="59"/>
      <c r="AL663" s="59"/>
      <c r="AM663" s="59"/>
      <c r="AN663" s="59"/>
      <c r="AO663" s="59"/>
      <c r="AP663" s="59"/>
      <c r="AQ663" s="59"/>
    </row>
    <row r="664" spans="37:43" ht="13.2" x14ac:dyDescent="0.25">
      <c r="AK664" s="59"/>
      <c r="AL664" s="59"/>
      <c r="AM664" s="59"/>
      <c r="AN664" s="59"/>
      <c r="AO664" s="59"/>
      <c r="AP664" s="59"/>
      <c r="AQ664" s="59"/>
    </row>
    <row r="665" spans="37:43" ht="13.2" x14ac:dyDescent="0.25">
      <c r="AK665" s="59"/>
      <c r="AL665" s="59"/>
      <c r="AM665" s="59"/>
      <c r="AN665" s="59"/>
      <c r="AO665" s="59"/>
      <c r="AP665" s="59"/>
      <c r="AQ665" s="59"/>
    </row>
    <row r="666" spans="37:43" ht="13.2" x14ac:dyDescent="0.25">
      <c r="AK666" s="59"/>
      <c r="AL666" s="59"/>
      <c r="AM666" s="59"/>
      <c r="AN666" s="59"/>
      <c r="AO666" s="59"/>
      <c r="AP666" s="59"/>
      <c r="AQ666" s="59"/>
    </row>
    <row r="667" spans="37:43" ht="13.2" x14ac:dyDescent="0.25">
      <c r="AK667" s="59"/>
      <c r="AL667" s="59"/>
      <c r="AM667" s="59"/>
      <c r="AN667" s="59"/>
      <c r="AO667" s="59"/>
      <c r="AP667" s="59"/>
      <c r="AQ667" s="59"/>
    </row>
    <row r="668" spans="37:43" ht="13.2" x14ac:dyDescent="0.25">
      <c r="AK668" s="59"/>
      <c r="AL668" s="59"/>
      <c r="AM668" s="59"/>
      <c r="AN668" s="59"/>
      <c r="AO668" s="59"/>
      <c r="AP668" s="59"/>
      <c r="AQ668" s="59"/>
    </row>
    <row r="669" spans="37:43" ht="13.2" x14ac:dyDescent="0.25">
      <c r="AK669" s="59"/>
      <c r="AL669" s="59"/>
      <c r="AM669" s="59"/>
      <c r="AN669" s="59"/>
      <c r="AO669" s="59"/>
      <c r="AP669" s="59"/>
      <c r="AQ669" s="59"/>
    </row>
    <row r="670" spans="37:43" ht="13.2" x14ac:dyDescent="0.25">
      <c r="AK670" s="59"/>
      <c r="AL670" s="59"/>
      <c r="AM670" s="59"/>
      <c r="AN670" s="59"/>
      <c r="AO670" s="59"/>
      <c r="AP670" s="59"/>
      <c r="AQ670" s="59"/>
    </row>
    <row r="671" spans="37:43" ht="13.2" x14ac:dyDescent="0.25">
      <c r="AK671" s="59"/>
      <c r="AL671" s="59"/>
      <c r="AM671" s="59"/>
      <c r="AN671" s="59"/>
      <c r="AO671" s="59"/>
      <c r="AP671" s="59"/>
      <c r="AQ671" s="59"/>
    </row>
    <row r="672" spans="37:43" ht="13.2" x14ac:dyDescent="0.25">
      <c r="AK672" s="59"/>
      <c r="AL672" s="59"/>
      <c r="AM672" s="59"/>
      <c r="AN672" s="59"/>
      <c r="AO672" s="59"/>
      <c r="AP672" s="59"/>
      <c r="AQ672" s="59"/>
    </row>
    <row r="673" spans="37:43" ht="13.2" x14ac:dyDescent="0.25">
      <c r="AK673" s="59"/>
      <c r="AL673" s="59"/>
      <c r="AM673" s="59"/>
      <c r="AN673" s="59"/>
      <c r="AO673" s="59"/>
      <c r="AP673" s="59"/>
      <c r="AQ673" s="59"/>
    </row>
    <row r="674" spans="37:43" ht="13.2" x14ac:dyDescent="0.25">
      <c r="AK674" s="59"/>
      <c r="AL674" s="59"/>
      <c r="AM674" s="59"/>
      <c r="AN674" s="59"/>
      <c r="AO674" s="59"/>
      <c r="AP674" s="59"/>
      <c r="AQ674" s="59"/>
    </row>
    <row r="675" spans="37:43" ht="13.2" x14ac:dyDescent="0.25">
      <c r="AK675" s="59"/>
      <c r="AL675" s="59"/>
      <c r="AM675" s="59"/>
      <c r="AN675" s="59"/>
      <c r="AO675" s="59"/>
      <c r="AP675" s="59"/>
      <c r="AQ675" s="59"/>
    </row>
    <row r="676" spans="37:43" ht="13.2" x14ac:dyDescent="0.25">
      <c r="AK676" s="59"/>
      <c r="AL676" s="59"/>
      <c r="AM676" s="59"/>
      <c r="AN676" s="59"/>
      <c r="AO676" s="59"/>
      <c r="AP676" s="59"/>
      <c r="AQ676" s="59"/>
    </row>
    <row r="677" spans="37:43" ht="13.2" x14ac:dyDescent="0.25">
      <c r="AK677" s="59"/>
      <c r="AL677" s="59"/>
      <c r="AM677" s="59"/>
      <c r="AN677" s="59"/>
      <c r="AO677" s="59"/>
      <c r="AP677" s="59"/>
      <c r="AQ677" s="59"/>
    </row>
    <row r="678" spans="37:43" ht="13.2" x14ac:dyDescent="0.25">
      <c r="AK678" s="59"/>
      <c r="AL678" s="59"/>
      <c r="AM678" s="59"/>
      <c r="AN678" s="59"/>
      <c r="AO678" s="59"/>
      <c r="AP678" s="59"/>
      <c r="AQ678" s="59"/>
    </row>
    <row r="679" spans="37:43" ht="13.2" x14ac:dyDescent="0.25">
      <c r="AK679" s="59"/>
      <c r="AL679" s="59"/>
      <c r="AM679" s="59"/>
      <c r="AN679" s="59"/>
      <c r="AO679" s="59"/>
      <c r="AP679" s="59"/>
      <c r="AQ679" s="59"/>
    </row>
    <row r="680" spans="37:43" ht="13.2" x14ac:dyDescent="0.25">
      <c r="AK680" s="59"/>
      <c r="AL680" s="59"/>
      <c r="AM680" s="59"/>
      <c r="AN680" s="59"/>
      <c r="AO680" s="59"/>
      <c r="AP680" s="59"/>
      <c r="AQ680" s="59"/>
    </row>
    <row r="681" spans="37:43" ht="13.2" x14ac:dyDescent="0.25">
      <c r="AK681" s="59"/>
      <c r="AL681" s="59"/>
      <c r="AM681" s="59"/>
      <c r="AN681" s="59"/>
      <c r="AO681" s="59"/>
      <c r="AP681" s="59"/>
      <c r="AQ681" s="59"/>
    </row>
    <row r="682" spans="37:43" ht="13.2" x14ac:dyDescent="0.25">
      <c r="AK682" s="59"/>
      <c r="AL682" s="59"/>
      <c r="AM682" s="59"/>
      <c r="AN682" s="59"/>
      <c r="AO682" s="59"/>
      <c r="AP682" s="59"/>
      <c r="AQ682" s="59"/>
    </row>
    <row r="683" spans="37:43" ht="13.2" x14ac:dyDescent="0.25">
      <c r="AK683" s="59"/>
      <c r="AL683" s="59"/>
      <c r="AM683" s="59"/>
      <c r="AN683" s="59"/>
      <c r="AO683" s="59"/>
      <c r="AP683" s="59"/>
      <c r="AQ683" s="59"/>
    </row>
    <row r="684" spans="37:43" ht="13.2" x14ac:dyDescent="0.25">
      <c r="AK684" s="59"/>
      <c r="AL684" s="59"/>
      <c r="AM684" s="59"/>
      <c r="AN684" s="59"/>
      <c r="AO684" s="59"/>
      <c r="AP684" s="59"/>
      <c r="AQ684" s="59"/>
    </row>
    <row r="685" spans="37:43" ht="13.2" x14ac:dyDescent="0.25">
      <c r="AK685" s="59"/>
      <c r="AL685" s="59"/>
      <c r="AM685" s="59"/>
      <c r="AN685" s="59"/>
      <c r="AO685" s="59"/>
      <c r="AP685" s="59"/>
      <c r="AQ685" s="59"/>
    </row>
    <row r="686" spans="37:43" ht="13.2" x14ac:dyDescent="0.25">
      <c r="AK686" s="59"/>
      <c r="AL686" s="59"/>
      <c r="AM686" s="59"/>
      <c r="AN686" s="59"/>
      <c r="AO686" s="59"/>
      <c r="AP686" s="59"/>
      <c r="AQ686" s="59"/>
    </row>
    <row r="687" spans="37:43" ht="13.2" x14ac:dyDescent="0.25">
      <c r="AK687" s="59"/>
      <c r="AL687" s="59"/>
      <c r="AM687" s="59"/>
      <c r="AN687" s="59"/>
      <c r="AO687" s="59"/>
      <c r="AP687" s="59"/>
      <c r="AQ687" s="59"/>
    </row>
    <row r="688" spans="37:43" ht="13.2" x14ac:dyDescent="0.25">
      <c r="AK688" s="59"/>
      <c r="AL688" s="59"/>
      <c r="AM688" s="59"/>
      <c r="AN688" s="59"/>
      <c r="AO688" s="59"/>
      <c r="AP688" s="59"/>
      <c r="AQ688" s="59"/>
    </row>
    <row r="689" spans="37:43" ht="13.2" x14ac:dyDescent="0.25">
      <c r="AK689" s="59"/>
      <c r="AL689" s="59"/>
      <c r="AM689" s="59"/>
      <c r="AN689" s="59"/>
      <c r="AO689" s="59"/>
      <c r="AP689" s="59"/>
      <c r="AQ689" s="59"/>
    </row>
    <row r="690" spans="37:43" ht="13.2" x14ac:dyDescent="0.25">
      <c r="AK690" s="59"/>
      <c r="AL690" s="59"/>
      <c r="AM690" s="59"/>
      <c r="AN690" s="59"/>
      <c r="AO690" s="59"/>
      <c r="AP690" s="59"/>
      <c r="AQ690" s="59"/>
    </row>
    <row r="691" spans="37:43" ht="13.2" x14ac:dyDescent="0.25">
      <c r="AK691" s="59"/>
      <c r="AL691" s="59"/>
      <c r="AM691" s="59"/>
      <c r="AN691" s="59"/>
      <c r="AO691" s="59"/>
      <c r="AP691" s="59"/>
      <c r="AQ691" s="59"/>
    </row>
    <row r="692" spans="37:43" ht="13.2" x14ac:dyDescent="0.25">
      <c r="AK692" s="59"/>
      <c r="AL692" s="59"/>
      <c r="AM692" s="59"/>
      <c r="AN692" s="59"/>
      <c r="AO692" s="59"/>
      <c r="AP692" s="59"/>
      <c r="AQ692" s="59"/>
    </row>
    <row r="693" spans="37:43" ht="13.2" x14ac:dyDescent="0.25">
      <c r="AK693" s="59"/>
      <c r="AL693" s="59"/>
      <c r="AM693" s="59"/>
      <c r="AN693" s="59"/>
      <c r="AO693" s="59"/>
      <c r="AP693" s="59"/>
      <c r="AQ693" s="59"/>
    </row>
    <row r="694" spans="37:43" ht="13.2" x14ac:dyDescent="0.25">
      <c r="AK694" s="59"/>
      <c r="AL694" s="59"/>
      <c r="AM694" s="59"/>
      <c r="AN694" s="59"/>
      <c r="AO694" s="59"/>
      <c r="AP694" s="59"/>
      <c r="AQ694" s="59"/>
    </row>
    <row r="695" spans="37:43" ht="13.2" x14ac:dyDescent="0.25">
      <c r="AK695" s="59"/>
      <c r="AL695" s="59"/>
      <c r="AM695" s="59"/>
      <c r="AN695" s="59"/>
      <c r="AO695" s="59"/>
      <c r="AP695" s="59"/>
      <c r="AQ695" s="59"/>
    </row>
    <row r="696" spans="37:43" ht="13.2" x14ac:dyDescent="0.25">
      <c r="AK696" s="59"/>
      <c r="AL696" s="59"/>
      <c r="AM696" s="59"/>
      <c r="AN696" s="59"/>
      <c r="AO696" s="59"/>
      <c r="AP696" s="59"/>
      <c r="AQ696" s="59"/>
    </row>
    <row r="697" spans="37:43" ht="13.2" x14ac:dyDescent="0.25">
      <c r="AK697" s="59"/>
      <c r="AL697" s="59"/>
      <c r="AM697" s="59"/>
      <c r="AN697" s="59"/>
      <c r="AO697" s="59"/>
      <c r="AP697" s="59"/>
      <c r="AQ697" s="59"/>
    </row>
    <row r="698" spans="37:43" ht="13.2" x14ac:dyDescent="0.25">
      <c r="AK698" s="59"/>
      <c r="AL698" s="59"/>
      <c r="AM698" s="59"/>
      <c r="AN698" s="59"/>
      <c r="AO698" s="59"/>
      <c r="AP698" s="59"/>
      <c r="AQ698" s="59"/>
    </row>
    <row r="699" spans="37:43" ht="13.2" x14ac:dyDescent="0.25">
      <c r="AK699" s="59"/>
      <c r="AL699" s="59"/>
      <c r="AM699" s="59"/>
      <c r="AN699" s="59"/>
      <c r="AO699" s="59"/>
      <c r="AP699" s="59"/>
      <c r="AQ699" s="59"/>
    </row>
    <row r="700" spans="37:43" ht="13.2" x14ac:dyDescent="0.25">
      <c r="AK700" s="59"/>
      <c r="AL700" s="59"/>
      <c r="AM700" s="59"/>
      <c r="AN700" s="59"/>
      <c r="AO700" s="59"/>
      <c r="AP700" s="59"/>
      <c r="AQ700" s="59"/>
    </row>
    <row r="701" spans="37:43" ht="13.2" x14ac:dyDescent="0.25">
      <c r="AK701" s="59"/>
      <c r="AL701" s="59"/>
      <c r="AM701" s="59"/>
      <c r="AN701" s="59"/>
      <c r="AO701" s="59"/>
      <c r="AP701" s="59"/>
      <c r="AQ701" s="59"/>
    </row>
    <row r="702" spans="37:43" ht="13.2" x14ac:dyDescent="0.25">
      <c r="AK702" s="59"/>
      <c r="AL702" s="59"/>
      <c r="AM702" s="59"/>
      <c r="AN702" s="59"/>
      <c r="AO702" s="59"/>
      <c r="AP702" s="59"/>
      <c r="AQ702" s="59"/>
    </row>
    <row r="703" spans="37:43" ht="13.2" x14ac:dyDescent="0.25">
      <c r="AK703" s="59"/>
      <c r="AL703" s="59"/>
      <c r="AM703" s="59"/>
      <c r="AN703" s="59"/>
      <c r="AO703" s="59"/>
      <c r="AP703" s="59"/>
      <c r="AQ703" s="59"/>
    </row>
    <row r="704" spans="37:43" ht="13.2" x14ac:dyDescent="0.25">
      <c r="AK704" s="59"/>
      <c r="AL704" s="59"/>
      <c r="AM704" s="59"/>
      <c r="AN704" s="59"/>
      <c r="AO704" s="59"/>
      <c r="AP704" s="59"/>
      <c r="AQ704" s="59"/>
    </row>
    <row r="705" spans="37:43" ht="13.2" x14ac:dyDescent="0.25">
      <c r="AK705" s="59"/>
      <c r="AL705" s="59"/>
      <c r="AM705" s="59"/>
      <c r="AN705" s="59"/>
      <c r="AO705" s="59"/>
      <c r="AP705" s="59"/>
      <c r="AQ705" s="59"/>
    </row>
    <row r="706" spans="37:43" ht="13.2" x14ac:dyDescent="0.25">
      <c r="AK706" s="59"/>
      <c r="AL706" s="59"/>
      <c r="AM706" s="59"/>
      <c r="AN706" s="59"/>
      <c r="AO706" s="59"/>
      <c r="AP706" s="59"/>
      <c r="AQ706" s="59"/>
    </row>
    <row r="707" spans="37:43" ht="13.2" x14ac:dyDescent="0.25">
      <c r="AK707" s="59"/>
      <c r="AL707" s="59"/>
      <c r="AM707" s="59"/>
      <c r="AN707" s="59"/>
      <c r="AO707" s="59"/>
      <c r="AP707" s="59"/>
      <c r="AQ707" s="59"/>
    </row>
    <row r="708" spans="37:43" ht="13.2" x14ac:dyDescent="0.25">
      <c r="AK708" s="59"/>
      <c r="AL708" s="59"/>
      <c r="AM708" s="59"/>
      <c r="AN708" s="59"/>
      <c r="AO708" s="59"/>
      <c r="AP708" s="59"/>
      <c r="AQ708" s="59"/>
    </row>
    <row r="709" spans="37:43" ht="13.2" x14ac:dyDescent="0.25">
      <c r="AK709" s="59"/>
      <c r="AL709" s="59"/>
      <c r="AM709" s="59"/>
      <c r="AN709" s="59"/>
      <c r="AO709" s="59"/>
      <c r="AP709" s="59"/>
      <c r="AQ709" s="59"/>
    </row>
    <row r="710" spans="37:43" ht="13.2" x14ac:dyDescent="0.25">
      <c r="AK710" s="59"/>
      <c r="AL710" s="59"/>
      <c r="AM710" s="59"/>
      <c r="AN710" s="59"/>
      <c r="AO710" s="59"/>
      <c r="AP710" s="59"/>
      <c r="AQ710" s="59"/>
    </row>
    <row r="711" spans="37:43" ht="13.2" x14ac:dyDescent="0.25">
      <c r="AK711" s="59"/>
      <c r="AL711" s="59"/>
      <c r="AM711" s="59"/>
      <c r="AN711" s="59"/>
      <c r="AO711" s="59"/>
      <c r="AP711" s="59"/>
      <c r="AQ711" s="59"/>
    </row>
    <row r="712" spans="37:43" ht="13.2" x14ac:dyDescent="0.25">
      <c r="AK712" s="59"/>
      <c r="AL712" s="59"/>
      <c r="AM712" s="59"/>
      <c r="AN712" s="59"/>
      <c r="AO712" s="59"/>
      <c r="AP712" s="59"/>
      <c r="AQ712" s="59"/>
    </row>
    <row r="713" spans="37:43" ht="13.2" x14ac:dyDescent="0.25">
      <c r="AK713" s="59"/>
      <c r="AL713" s="59"/>
      <c r="AM713" s="59"/>
      <c r="AN713" s="59"/>
      <c r="AO713" s="59"/>
      <c r="AP713" s="59"/>
      <c r="AQ713" s="59"/>
    </row>
    <row r="714" spans="37:43" ht="13.2" x14ac:dyDescent="0.25">
      <c r="AK714" s="59"/>
      <c r="AL714" s="59"/>
      <c r="AM714" s="59"/>
      <c r="AN714" s="59"/>
      <c r="AO714" s="59"/>
      <c r="AP714" s="59"/>
      <c r="AQ714" s="59"/>
    </row>
    <row r="715" spans="37:43" ht="13.2" x14ac:dyDescent="0.25">
      <c r="AK715" s="59"/>
      <c r="AL715" s="59"/>
      <c r="AM715" s="59"/>
      <c r="AN715" s="59"/>
      <c r="AO715" s="59"/>
      <c r="AP715" s="59"/>
      <c r="AQ715" s="59"/>
    </row>
    <row r="716" spans="37:43" ht="13.2" x14ac:dyDescent="0.25">
      <c r="AK716" s="59"/>
      <c r="AL716" s="59"/>
      <c r="AM716" s="59"/>
      <c r="AN716" s="59"/>
      <c r="AO716" s="59"/>
      <c r="AP716" s="59"/>
      <c r="AQ716" s="59"/>
    </row>
    <row r="717" spans="37:43" ht="13.2" x14ac:dyDescent="0.25">
      <c r="AK717" s="59"/>
      <c r="AL717" s="59"/>
      <c r="AM717" s="59"/>
      <c r="AN717" s="59"/>
      <c r="AO717" s="59"/>
      <c r="AP717" s="59"/>
      <c r="AQ717" s="59"/>
    </row>
    <row r="718" spans="37:43" ht="13.2" x14ac:dyDescent="0.25">
      <c r="AK718" s="59"/>
      <c r="AL718" s="59"/>
      <c r="AM718" s="59"/>
      <c r="AN718" s="59"/>
      <c r="AO718" s="59"/>
      <c r="AP718" s="59"/>
      <c r="AQ718" s="59"/>
    </row>
    <row r="719" spans="37:43" ht="13.2" x14ac:dyDescent="0.25">
      <c r="AK719" s="59"/>
      <c r="AL719" s="59"/>
      <c r="AM719" s="59"/>
      <c r="AN719" s="59"/>
      <c r="AO719" s="59"/>
      <c r="AP719" s="59"/>
      <c r="AQ719" s="59"/>
    </row>
    <row r="720" spans="37:43" ht="13.2" x14ac:dyDescent="0.25">
      <c r="AK720" s="59"/>
      <c r="AL720" s="59"/>
      <c r="AM720" s="59"/>
      <c r="AN720" s="59"/>
      <c r="AO720" s="59"/>
      <c r="AP720" s="59"/>
      <c r="AQ720" s="59"/>
    </row>
    <row r="721" spans="37:43" ht="13.2" x14ac:dyDescent="0.25">
      <c r="AK721" s="59"/>
      <c r="AL721" s="59"/>
      <c r="AM721" s="59"/>
      <c r="AN721" s="59"/>
      <c r="AO721" s="59"/>
      <c r="AP721" s="59"/>
      <c r="AQ721" s="59"/>
    </row>
    <row r="722" spans="37:43" ht="13.2" x14ac:dyDescent="0.25">
      <c r="AK722" s="59"/>
      <c r="AL722" s="59"/>
      <c r="AM722" s="59"/>
      <c r="AN722" s="59"/>
      <c r="AO722" s="59"/>
      <c r="AP722" s="59"/>
      <c r="AQ722" s="59"/>
    </row>
    <row r="723" spans="37:43" ht="13.2" x14ac:dyDescent="0.25">
      <c r="AK723" s="59"/>
      <c r="AL723" s="59"/>
      <c r="AM723" s="59"/>
      <c r="AN723" s="59"/>
      <c r="AO723" s="59"/>
      <c r="AP723" s="59"/>
      <c r="AQ723" s="59"/>
    </row>
    <row r="724" spans="37:43" ht="13.2" x14ac:dyDescent="0.25">
      <c r="AK724" s="59"/>
      <c r="AL724" s="59"/>
      <c r="AM724" s="59"/>
      <c r="AN724" s="59"/>
      <c r="AO724" s="59"/>
      <c r="AP724" s="59"/>
      <c r="AQ724" s="59"/>
    </row>
    <row r="725" spans="37:43" ht="13.2" x14ac:dyDescent="0.25">
      <c r="AK725" s="59"/>
      <c r="AL725" s="59"/>
      <c r="AM725" s="59"/>
      <c r="AN725" s="59"/>
      <c r="AO725" s="59"/>
      <c r="AP725" s="59"/>
      <c r="AQ725" s="59"/>
    </row>
    <row r="726" spans="37:43" ht="13.2" x14ac:dyDescent="0.25">
      <c r="AK726" s="59"/>
      <c r="AL726" s="59"/>
      <c r="AM726" s="59"/>
      <c r="AN726" s="59"/>
      <c r="AO726" s="59"/>
      <c r="AP726" s="59"/>
      <c r="AQ726" s="59"/>
    </row>
    <row r="727" spans="37:43" ht="13.2" x14ac:dyDescent="0.25">
      <c r="AK727" s="59"/>
      <c r="AL727" s="59"/>
      <c r="AM727" s="59"/>
      <c r="AN727" s="59"/>
      <c r="AO727" s="59"/>
      <c r="AP727" s="59"/>
      <c r="AQ727" s="59"/>
    </row>
    <row r="728" spans="37:43" ht="13.2" x14ac:dyDescent="0.25">
      <c r="AK728" s="59"/>
      <c r="AL728" s="59"/>
      <c r="AM728" s="59"/>
      <c r="AN728" s="59"/>
      <c r="AO728" s="59"/>
      <c r="AP728" s="59"/>
      <c r="AQ728" s="59"/>
    </row>
    <row r="729" spans="37:43" ht="13.2" x14ac:dyDescent="0.25">
      <c r="AK729" s="59"/>
      <c r="AL729" s="59"/>
      <c r="AM729" s="59"/>
      <c r="AN729" s="59"/>
      <c r="AO729" s="59"/>
      <c r="AP729" s="59"/>
      <c r="AQ729" s="59"/>
    </row>
    <row r="730" spans="37:43" ht="13.2" x14ac:dyDescent="0.25">
      <c r="AK730" s="59"/>
      <c r="AL730" s="59"/>
      <c r="AM730" s="59"/>
      <c r="AN730" s="59"/>
      <c r="AO730" s="59"/>
      <c r="AP730" s="59"/>
      <c r="AQ730" s="59"/>
    </row>
    <row r="731" spans="37:43" ht="13.2" x14ac:dyDescent="0.25">
      <c r="AK731" s="59"/>
      <c r="AL731" s="59"/>
      <c r="AM731" s="59"/>
      <c r="AN731" s="59"/>
      <c r="AO731" s="59"/>
      <c r="AP731" s="59"/>
      <c r="AQ731" s="59"/>
    </row>
    <row r="732" spans="37:43" ht="13.2" x14ac:dyDescent="0.25">
      <c r="AK732" s="59"/>
      <c r="AL732" s="59"/>
      <c r="AM732" s="59"/>
      <c r="AN732" s="59"/>
      <c r="AO732" s="59"/>
      <c r="AP732" s="59"/>
      <c r="AQ732" s="59"/>
    </row>
    <row r="733" spans="37:43" ht="13.2" x14ac:dyDescent="0.25">
      <c r="AK733" s="59"/>
      <c r="AL733" s="59"/>
      <c r="AM733" s="59"/>
      <c r="AN733" s="59"/>
      <c r="AO733" s="59"/>
      <c r="AP733" s="59"/>
      <c r="AQ733" s="59"/>
    </row>
    <row r="734" spans="37:43" ht="13.2" x14ac:dyDescent="0.25">
      <c r="AK734" s="59"/>
      <c r="AL734" s="59"/>
      <c r="AM734" s="59"/>
      <c r="AN734" s="59"/>
      <c r="AO734" s="59"/>
      <c r="AP734" s="59"/>
      <c r="AQ734" s="59"/>
    </row>
    <row r="735" spans="37:43" ht="13.2" x14ac:dyDescent="0.25">
      <c r="AK735" s="59"/>
      <c r="AL735" s="59"/>
      <c r="AM735" s="59"/>
      <c r="AN735" s="59"/>
      <c r="AO735" s="59"/>
      <c r="AP735" s="59"/>
      <c r="AQ735" s="59"/>
    </row>
    <row r="736" spans="37:43" ht="13.2" x14ac:dyDescent="0.25">
      <c r="AK736" s="59"/>
      <c r="AL736" s="59"/>
      <c r="AM736" s="59"/>
      <c r="AN736" s="59"/>
      <c r="AO736" s="59"/>
      <c r="AP736" s="59"/>
      <c r="AQ736" s="59"/>
    </row>
    <row r="737" spans="37:43" ht="13.2" x14ac:dyDescent="0.25">
      <c r="AK737" s="59"/>
      <c r="AL737" s="59"/>
      <c r="AM737" s="59"/>
      <c r="AN737" s="59"/>
      <c r="AO737" s="59"/>
      <c r="AP737" s="59"/>
      <c r="AQ737" s="59"/>
    </row>
    <row r="738" spans="37:43" ht="13.2" x14ac:dyDescent="0.25">
      <c r="AK738" s="59"/>
      <c r="AL738" s="59"/>
      <c r="AM738" s="59"/>
      <c r="AN738" s="59"/>
      <c r="AO738" s="59"/>
      <c r="AP738" s="59"/>
      <c r="AQ738" s="59"/>
    </row>
    <row r="739" spans="37:43" ht="13.2" x14ac:dyDescent="0.25">
      <c r="AK739" s="59"/>
      <c r="AL739" s="59"/>
      <c r="AM739" s="59"/>
      <c r="AN739" s="59"/>
      <c r="AO739" s="59"/>
      <c r="AP739" s="59"/>
      <c r="AQ739" s="59"/>
    </row>
    <row r="740" spans="37:43" ht="13.2" x14ac:dyDescent="0.25">
      <c r="AK740" s="59"/>
      <c r="AL740" s="59"/>
      <c r="AM740" s="59"/>
      <c r="AN740" s="59"/>
      <c r="AO740" s="59"/>
      <c r="AP740" s="59"/>
      <c r="AQ740" s="59"/>
    </row>
    <row r="741" spans="37:43" ht="13.2" x14ac:dyDescent="0.25">
      <c r="AK741" s="59"/>
      <c r="AL741" s="59"/>
      <c r="AM741" s="59"/>
      <c r="AN741" s="59"/>
      <c r="AO741" s="59"/>
      <c r="AP741" s="59"/>
      <c r="AQ741" s="59"/>
    </row>
    <row r="742" spans="37:43" ht="13.2" x14ac:dyDescent="0.25">
      <c r="AK742" s="59"/>
      <c r="AL742" s="59"/>
      <c r="AM742" s="59"/>
      <c r="AN742" s="59"/>
      <c r="AO742" s="59"/>
      <c r="AP742" s="59"/>
      <c r="AQ742" s="59"/>
    </row>
    <row r="743" spans="37:43" ht="13.2" x14ac:dyDescent="0.25">
      <c r="AK743" s="59"/>
      <c r="AL743" s="59"/>
      <c r="AM743" s="59"/>
      <c r="AN743" s="59"/>
      <c r="AO743" s="59"/>
      <c r="AP743" s="59"/>
      <c r="AQ743" s="59"/>
    </row>
    <row r="744" spans="37:43" ht="13.2" x14ac:dyDescent="0.25">
      <c r="AK744" s="59"/>
      <c r="AL744" s="59"/>
      <c r="AM744" s="59"/>
      <c r="AN744" s="59"/>
      <c r="AO744" s="59"/>
      <c r="AP744" s="59"/>
      <c r="AQ744" s="59"/>
    </row>
    <row r="745" spans="37:43" ht="13.2" x14ac:dyDescent="0.25">
      <c r="AK745" s="59"/>
      <c r="AL745" s="59"/>
      <c r="AM745" s="59"/>
      <c r="AN745" s="59"/>
      <c r="AO745" s="59"/>
      <c r="AP745" s="59"/>
      <c r="AQ745" s="59"/>
    </row>
    <row r="746" spans="37:43" ht="13.2" x14ac:dyDescent="0.25">
      <c r="AK746" s="59"/>
      <c r="AL746" s="59"/>
      <c r="AM746" s="59"/>
      <c r="AN746" s="59"/>
      <c r="AO746" s="59"/>
      <c r="AP746" s="59"/>
      <c r="AQ746" s="59"/>
    </row>
    <row r="747" spans="37:43" ht="13.2" x14ac:dyDescent="0.25">
      <c r="AK747" s="59"/>
      <c r="AL747" s="59"/>
      <c r="AM747" s="59"/>
      <c r="AN747" s="59"/>
      <c r="AO747" s="59"/>
      <c r="AP747" s="59"/>
      <c r="AQ747" s="59"/>
    </row>
    <row r="748" spans="37:43" ht="13.2" x14ac:dyDescent="0.25">
      <c r="AK748" s="59"/>
      <c r="AL748" s="59"/>
      <c r="AM748" s="59"/>
      <c r="AN748" s="59"/>
      <c r="AO748" s="59"/>
      <c r="AP748" s="59"/>
      <c r="AQ748" s="59"/>
    </row>
    <row r="749" spans="37:43" ht="13.2" x14ac:dyDescent="0.25">
      <c r="AK749" s="59"/>
      <c r="AL749" s="59"/>
      <c r="AM749" s="59"/>
      <c r="AN749" s="59"/>
      <c r="AO749" s="59"/>
      <c r="AP749" s="59"/>
      <c r="AQ749" s="59"/>
    </row>
    <row r="750" spans="37:43" ht="13.2" x14ac:dyDescent="0.25">
      <c r="AK750" s="59"/>
      <c r="AL750" s="59"/>
      <c r="AM750" s="59"/>
      <c r="AN750" s="59"/>
      <c r="AO750" s="59"/>
      <c r="AP750" s="59"/>
      <c r="AQ750" s="59"/>
    </row>
    <row r="751" spans="37:43" ht="13.2" x14ac:dyDescent="0.25">
      <c r="AK751" s="59"/>
      <c r="AL751" s="59"/>
      <c r="AM751" s="59"/>
      <c r="AN751" s="59"/>
      <c r="AO751" s="59"/>
      <c r="AP751" s="59"/>
      <c r="AQ751" s="59"/>
    </row>
    <row r="752" spans="37:43" ht="13.2" x14ac:dyDescent="0.25">
      <c r="AK752" s="59"/>
      <c r="AL752" s="59"/>
      <c r="AM752" s="59"/>
      <c r="AN752" s="59"/>
      <c r="AO752" s="59"/>
      <c r="AP752" s="59"/>
      <c r="AQ752" s="59"/>
    </row>
    <row r="753" spans="37:43" ht="13.2" x14ac:dyDescent="0.25">
      <c r="AK753" s="59"/>
      <c r="AL753" s="59"/>
      <c r="AM753" s="59"/>
      <c r="AN753" s="59"/>
      <c r="AO753" s="59"/>
      <c r="AP753" s="59"/>
      <c r="AQ753" s="59"/>
    </row>
    <row r="754" spans="37:43" ht="13.2" x14ac:dyDescent="0.25">
      <c r="AK754" s="59"/>
      <c r="AL754" s="59"/>
      <c r="AM754" s="59"/>
      <c r="AN754" s="59"/>
      <c r="AO754" s="59"/>
      <c r="AP754" s="59"/>
      <c r="AQ754" s="59"/>
    </row>
    <row r="755" spans="37:43" ht="13.2" x14ac:dyDescent="0.25">
      <c r="AK755" s="59"/>
      <c r="AL755" s="59"/>
      <c r="AM755" s="59"/>
      <c r="AN755" s="59"/>
      <c r="AO755" s="59"/>
      <c r="AP755" s="59"/>
      <c r="AQ755" s="59"/>
    </row>
    <row r="756" spans="37:43" ht="13.2" x14ac:dyDescent="0.25">
      <c r="AK756" s="59"/>
      <c r="AL756" s="59"/>
      <c r="AM756" s="59"/>
      <c r="AN756" s="59"/>
      <c r="AO756" s="59"/>
      <c r="AP756" s="59"/>
      <c r="AQ756" s="59"/>
    </row>
    <row r="757" spans="37:43" ht="13.2" x14ac:dyDescent="0.25">
      <c r="AK757" s="59"/>
      <c r="AL757" s="59"/>
      <c r="AM757" s="59"/>
      <c r="AN757" s="59"/>
      <c r="AO757" s="59"/>
      <c r="AP757" s="59"/>
      <c r="AQ757" s="59"/>
    </row>
    <row r="758" spans="37:43" ht="13.2" x14ac:dyDescent="0.25">
      <c r="AK758" s="59"/>
      <c r="AL758" s="59"/>
      <c r="AM758" s="59"/>
      <c r="AN758" s="59"/>
      <c r="AO758" s="59"/>
      <c r="AP758" s="59"/>
      <c r="AQ758" s="59"/>
    </row>
    <row r="759" spans="37:43" ht="13.2" x14ac:dyDescent="0.25">
      <c r="AK759" s="59"/>
      <c r="AL759" s="59"/>
      <c r="AM759" s="59"/>
      <c r="AN759" s="59"/>
      <c r="AO759" s="59"/>
      <c r="AP759" s="59"/>
      <c r="AQ759" s="59"/>
    </row>
    <row r="760" spans="37:43" ht="13.2" x14ac:dyDescent="0.25">
      <c r="AK760" s="59"/>
      <c r="AL760" s="59"/>
      <c r="AM760" s="59"/>
      <c r="AN760" s="59"/>
      <c r="AO760" s="59"/>
      <c r="AP760" s="59"/>
      <c r="AQ760" s="59"/>
    </row>
    <row r="761" spans="37:43" ht="13.2" x14ac:dyDescent="0.25">
      <c r="AK761" s="59"/>
      <c r="AL761" s="59"/>
      <c r="AM761" s="59"/>
      <c r="AN761" s="59"/>
      <c r="AO761" s="59"/>
      <c r="AP761" s="59"/>
      <c r="AQ761" s="59"/>
    </row>
    <row r="762" spans="37:43" ht="13.2" x14ac:dyDescent="0.25">
      <c r="AK762" s="59"/>
      <c r="AL762" s="59"/>
      <c r="AM762" s="59"/>
      <c r="AN762" s="59"/>
      <c r="AO762" s="59"/>
      <c r="AP762" s="59"/>
      <c r="AQ762" s="59"/>
    </row>
    <row r="763" spans="37:43" ht="13.2" x14ac:dyDescent="0.25">
      <c r="AK763" s="59"/>
      <c r="AL763" s="59"/>
      <c r="AM763" s="59"/>
      <c r="AN763" s="59"/>
      <c r="AO763" s="59"/>
      <c r="AP763" s="59"/>
      <c r="AQ763" s="59"/>
    </row>
    <row r="764" spans="37:43" ht="13.2" x14ac:dyDescent="0.25">
      <c r="AK764" s="59"/>
      <c r="AL764" s="59"/>
      <c r="AM764" s="59"/>
      <c r="AN764" s="59"/>
      <c r="AO764" s="59"/>
      <c r="AP764" s="59"/>
      <c r="AQ764" s="59"/>
    </row>
    <row r="765" spans="37:43" ht="13.2" x14ac:dyDescent="0.25">
      <c r="AK765" s="59"/>
      <c r="AL765" s="59"/>
      <c r="AM765" s="59"/>
      <c r="AN765" s="59"/>
      <c r="AO765" s="59"/>
      <c r="AP765" s="59"/>
      <c r="AQ765" s="59"/>
    </row>
    <row r="766" spans="37:43" ht="13.2" x14ac:dyDescent="0.25">
      <c r="AK766" s="59"/>
      <c r="AL766" s="59"/>
      <c r="AM766" s="59"/>
      <c r="AN766" s="59"/>
      <c r="AO766" s="59"/>
      <c r="AP766" s="59"/>
      <c r="AQ766" s="59"/>
    </row>
    <row r="767" spans="37:43" ht="13.2" x14ac:dyDescent="0.25">
      <c r="AK767" s="59"/>
      <c r="AL767" s="59"/>
      <c r="AM767" s="59"/>
      <c r="AN767" s="59"/>
      <c r="AO767" s="59"/>
      <c r="AP767" s="59"/>
      <c r="AQ767" s="59"/>
    </row>
    <row r="768" spans="37:43" ht="13.2" x14ac:dyDescent="0.25">
      <c r="AK768" s="59"/>
      <c r="AL768" s="59"/>
      <c r="AM768" s="59"/>
      <c r="AN768" s="59"/>
      <c r="AO768" s="59"/>
      <c r="AP768" s="59"/>
      <c r="AQ768" s="59"/>
    </row>
    <row r="769" spans="37:43" ht="13.2" x14ac:dyDescent="0.25">
      <c r="AK769" s="59"/>
      <c r="AL769" s="59"/>
      <c r="AM769" s="59"/>
      <c r="AN769" s="59"/>
      <c r="AO769" s="59"/>
      <c r="AP769" s="59"/>
      <c r="AQ769" s="59"/>
    </row>
    <row r="770" spans="37:43" ht="13.2" x14ac:dyDescent="0.25">
      <c r="AK770" s="59"/>
      <c r="AL770" s="59"/>
      <c r="AM770" s="59"/>
      <c r="AN770" s="59"/>
      <c r="AO770" s="59"/>
      <c r="AP770" s="59"/>
      <c r="AQ770" s="59"/>
    </row>
    <row r="771" spans="37:43" ht="13.2" x14ac:dyDescent="0.25">
      <c r="AK771" s="59"/>
      <c r="AL771" s="59"/>
      <c r="AM771" s="59"/>
      <c r="AN771" s="59"/>
      <c r="AO771" s="59"/>
      <c r="AP771" s="59"/>
      <c r="AQ771" s="59"/>
    </row>
    <row r="772" spans="37:43" ht="13.2" x14ac:dyDescent="0.25">
      <c r="AK772" s="59"/>
      <c r="AL772" s="59"/>
      <c r="AM772" s="59"/>
      <c r="AN772" s="59"/>
      <c r="AO772" s="59"/>
      <c r="AP772" s="59"/>
      <c r="AQ772" s="59"/>
    </row>
    <row r="773" spans="37:43" ht="13.2" x14ac:dyDescent="0.25">
      <c r="AK773" s="59"/>
      <c r="AL773" s="59"/>
      <c r="AM773" s="59"/>
      <c r="AN773" s="59"/>
      <c r="AO773" s="59"/>
      <c r="AP773" s="59"/>
      <c r="AQ773" s="59"/>
    </row>
    <row r="774" spans="37:43" ht="13.2" x14ac:dyDescent="0.25">
      <c r="AK774" s="59"/>
      <c r="AL774" s="59"/>
      <c r="AM774" s="59"/>
      <c r="AN774" s="59"/>
      <c r="AO774" s="59"/>
      <c r="AP774" s="59"/>
      <c r="AQ774" s="59"/>
    </row>
    <row r="775" spans="37:43" ht="13.2" x14ac:dyDescent="0.25">
      <c r="AK775" s="59"/>
      <c r="AL775" s="59"/>
      <c r="AM775" s="59"/>
      <c r="AN775" s="59"/>
      <c r="AO775" s="59"/>
      <c r="AP775" s="59"/>
      <c r="AQ775" s="59"/>
    </row>
    <row r="776" spans="37:43" ht="13.2" x14ac:dyDescent="0.25">
      <c r="AK776" s="59"/>
      <c r="AL776" s="59"/>
      <c r="AM776" s="59"/>
      <c r="AN776" s="59"/>
      <c r="AO776" s="59"/>
      <c r="AP776" s="59"/>
      <c r="AQ776" s="59"/>
    </row>
    <row r="777" spans="37:43" ht="13.2" x14ac:dyDescent="0.25">
      <c r="AK777" s="59"/>
      <c r="AL777" s="59"/>
      <c r="AM777" s="59"/>
      <c r="AN777" s="59"/>
      <c r="AO777" s="59"/>
      <c r="AP777" s="59"/>
      <c r="AQ777" s="59"/>
    </row>
    <row r="778" spans="37:43" ht="13.2" x14ac:dyDescent="0.25">
      <c r="AK778" s="59"/>
      <c r="AL778" s="59"/>
      <c r="AM778" s="59"/>
      <c r="AN778" s="59"/>
      <c r="AO778" s="59"/>
      <c r="AP778" s="59"/>
      <c r="AQ778" s="59"/>
    </row>
    <row r="779" spans="37:43" ht="13.2" x14ac:dyDescent="0.25">
      <c r="AK779" s="59"/>
      <c r="AL779" s="59"/>
      <c r="AM779" s="59"/>
      <c r="AN779" s="59"/>
      <c r="AO779" s="59"/>
      <c r="AP779" s="59"/>
      <c r="AQ779" s="59"/>
    </row>
    <row r="780" spans="37:43" ht="13.2" x14ac:dyDescent="0.25">
      <c r="AK780" s="59"/>
      <c r="AL780" s="59"/>
      <c r="AM780" s="59"/>
      <c r="AN780" s="59"/>
      <c r="AO780" s="59"/>
      <c r="AP780" s="59"/>
      <c r="AQ780" s="59"/>
    </row>
    <row r="781" spans="37:43" ht="13.2" x14ac:dyDescent="0.25">
      <c r="AK781" s="59"/>
      <c r="AL781" s="59"/>
      <c r="AM781" s="59"/>
      <c r="AN781" s="59"/>
      <c r="AO781" s="59"/>
      <c r="AP781" s="59"/>
      <c r="AQ781" s="59"/>
    </row>
    <row r="782" spans="37:43" ht="13.2" x14ac:dyDescent="0.25">
      <c r="AK782" s="59"/>
      <c r="AL782" s="59"/>
      <c r="AM782" s="59"/>
      <c r="AN782" s="59"/>
      <c r="AO782" s="59"/>
      <c r="AP782" s="59"/>
      <c r="AQ782" s="59"/>
    </row>
    <row r="783" spans="37:43" ht="13.2" x14ac:dyDescent="0.25">
      <c r="AK783" s="59"/>
      <c r="AL783" s="59"/>
      <c r="AM783" s="59"/>
      <c r="AN783" s="59"/>
      <c r="AO783" s="59"/>
      <c r="AP783" s="59"/>
      <c r="AQ783" s="59"/>
    </row>
    <row r="784" spans="37:43" ht="13.2" x14ac:dyDescent="0.25">
      <c r="AK784" s="59"/>
      <c r="AL784" s="59"/>
      <c r="AM784" s="59"/>
      <c r="AN784" s="59"/>
      <c r="AO784" s="59"/>
      <c r="AP784" s="59"/>
      <c r="AQ784" s="59"/>
    </row>
    <row r="785" spans="37:43" ht="13.2" x14ac:dyDescent="0.25">
      <c r="AK785" s="59"/>
      <c r="AL785" s="59"/>
      <c r="AM785" s="59"/>
      <c r="AN785" s="59"/>
      <c r="AO785" s="59"/>
      <c r="AP785" s="59"/>
      <c r="AQ785" s="59"/>
    </row>
    <row r="786" spans="37:43" ht="13.2" x14ac:dyDescent="0.25">
      <c r="AK786" s="59"/>
      <c r="AL786" s="59"/>
      <c r="AM786" s="59"/>
      <c r="AN786" s="59"/>
      <c r="AO786" s="59"/>
      <c r="AP786" s="59"/>
      <c r="AQ786" s="59"/>
    </row>
    <row r="787" spans="37:43" ht="13.2" x14ac:dyDescent="0.25">
      <c r="AK787" s="59"/>
      <c r="AL787" s="59"/>
      <c r="AM787" s="59"/>
      <c r="AN787" s="59"/>
      <c r="AO787" s="59"/>
      <c r="AP787" s="59"/>
      <c r="AQ787" s="59"/>
    </row>
    <row r="788" spans="37:43" ht="13.2" x14ac:dyDescent="0.25">
      <c r="AK788" s="59"/>
      <c r="AL788" s="59"/>
      <c r="AM788" s="59"/>
      <c r="AN788" s="59"/>
      <c r="AO788" s="59"/>
      <c r="AP788" s="59"/>
      <c r="AQ788" s="59"/>
    </row>
    <row r="789" spans="37:43" ht="13.2" x14ac:dyDescent="0.25">
      <c r="AK789" s="59"/>
      <c r="AL789" s="59"/>
      <c r="AM789" s="59"/>
      <c r="AN789" s="59"/>
      <c r="AO789" s="59"/>
      <c r="AP789" s="59"/>
      <c r="AQ789" s="59"/>
    </row>
    <row r="790" spans="37:43" ht="13.2" x14ac:dyDescent="0.25">
      <c r="AK790" s="59"/>
      <c r="AL790" s="59"/>
      <c r="AM790" s="59"/>
      <c r="AN790" s="59"/>
      <c r="AO790" s="59"/>
      <c r="AP790" s="59"/>
      <c r="AQ790" s="59"/>
    </row>
    <row r="791" spans="37:43" ht="13.2" x14ac:dyDescent="0.25">
      <c r="AK791" s="59"/>
      <c r="AL791" s="59"/>
      <c r="AM791" s="59"/>
      <c r="AN791" s="59"/>
      <c r="AO791" s="59"/>
      <c r="AP791" s="59"/>
      <c r="AQ791" s="59"/>
    </row>
    <row r="792" spans="37:43" ht="13.2" x14ac:dyDescent="0.25">
      <c r="AK792" s="59"/>
      <c r="AL792" s="59"/>
      <c r="AM792" s="59"/>
      <c r="AN792" s="59"/>
      <c r="AO792" s="59"/>
      <c r="AP792" s="59"/>
      <c r="AQ792" s="59"/>
    </row>
    <row r="793" spans="37:43" ht="13.2" x14ac:dyDescent="0.25">
      <c r="AK793" s="59"/>
      <c r="AL793" s="59"/>
      <c r="AM793" s="59"/>
      <c r="AN793" s="59"/>
      <c r="AO793" s="59"/>
      <c r="AP793" s="59"/>
      <c r="AQ793" s="59"/>
    </row>
    <row r="794" spans="37:43" ht="13.2" x14ac:dyDescent="0.25">
      <c r="AK794" s="59"/>
      <c r="AL794" s="59"/>
      <c r="AM794" s="59"/>
      <c r="AN794" s="59"/>
      <c r="AO794" s="59"/>
      <c r="AP794" s="59"/>
      <c r="AQ794" s="59"/>
    </row>
    <row r="795" spans="37:43" ht="13.2" x14ac:dyDescent="0.25">
      <c r="AK795" s="59"/>
      <c r="AL795" s="59"/>
      <c r="AM795" s="59"/>
      <c r="AN795" s="59"/>
      <c r="AO795" s="59"/>
      <c r="AP795" s="59"/>
      <c r="AQ795" s="59"/>
    </row>
    <row r="796" spans="37:43" ht="13.2" x14ac:dyDescent="0.25">
      <c r="AK796" s="59"/>
      <c r="AL796" s="59"/>
      <c r="AM796" s="59"/>
      <c r="AN796" s="59"/>
      <c r="AO796" s="59"/>
      <c r="AP796" s="59"/>
      <c r="AQ796" s="59"/>
    </row>
    <row r="797" spans="37:43" ht="13.2" x14ac:dyDescent="0.25">
      <c r="AK797" s="59"/>
      <c r="AL797" s="59"/>
      <c r="AM797" s="59"/>
      <c r="AN797" s="59"/>
      <c r="AO797" s="59"/>
      <c r="AP797" s="59"/>
      <c r="AQ797" s="59"/>
    </row>
    <row r="798" spans="37:43" ht="13.2" x14ac:dyDescent="0.25">
      <c r="AK798" s="59"/>
      <c r="AL798" s="59"/>
      <c r="AM798" s="59"/>
      <c r="AN798" s="59"/>
      <c r="AO798" s="59"/>
      <c r="AP798" s="59"/>
      <c r="AQ798" s="59"/>
    </row>
    <row r="799" spans="37:43" ht="13.2" x14ac:dyDescent="0.25">
      <c r="AK799" s="59"/>
      <c r="AL799" s="59"/>
      <c r="AM799" s="59"/>
      <c r="AN799" s="59"/>
      <c r="AO799" s="59"/>
      <c r="AP799" s="59"/>
      <c r="AQ799" s="59"/>
    </row>
    <row r="800" spans="37:43" ht="13.2" x14ac:dyDescent="0.25">
      <c r="AK800" s="59"/>
      <c r="AL800" s="59"/>
      <c r="AM800" s="59"/>
      <c r="AN800" s="59"/>
      <c r="AO800" s="59"/>
      <c r="AP800" s="59"/>
      <c r="AQ800" s="59"/>
    </row>
    <row r="801" spans="37:43" ht="13.2" x14ac:dyDescent="0.25">
      <c r="AK801" s="59"/>
      <c r="AL801" s="59"/>
      <c r="AM801" s="59"/>
      <c r="AN801" s="59"/>
      <c r="AO801" s="59"/>
      <c r="AP801" s="59"/>
      <c r="AQ801" s="59"/>
    </row>
    <row r="802" spans="37:43" ht="13.2" x14ac:dyDescent="0.25">
      <c r="AK802" s="59"/>
      <c r="AL802" s="59"/>
      <c r="AM802" s="59"/>
      <c r="AN802" s="59"/>
      <c r="AO802" s="59"/>
      <c r="AP802" s="59"/>
      <c r="AQ802" s="59"/>
    </row>
    <row r="803" spans="37:43" ht="13.2" x14ac:dyDescent="0.25">
      <c r="AK803" s="59"/>
      <c r="AL803" s="59"/>
      <c r="AM803" s="59"/>
      <c r="AN803" s="59"/>
      <c r="AO803" s="59"/>
      <c r="AP803" s="59"/>
      <c r="AQ803" s="59"/>
    </row>
    <row r="804" spans="37:43" ht="13.2" x14ac:dyDescent="0.25">
      <c r="AK804" s="59"/>
      <c r="AL804" s="59"/>
      <c r="AM804" s="59"/>
      <c r="AN804" s="59"/>
      <c r="AO804" s="59"/>
      <c r="AP804" s="59"/>
      <c r="AQ804" s="59"/>
    </row>
    <row r="805" spans="37:43" ht="13.2" x14ac:dyDescent="0.25">
      <c r="AK805" s="59"/>
      <c r="AL805" s="59"/>
      <c r="AM805" s="59"/>
      <c r="AN805" s="59"/>
      <c r="AO805" s="59"/>
      <c r="AP805" s="59"/>
      <c r="AQ805" s="59"/>
    </row>
    <row r="806" spans="37:43" ht="13.2" x14ac:dyDescent="0.25">
      <c r="AK806" s="59"/>
      <c r="AL806" s="59"/>
      <c r="AM806" s="59"/>
      <c r="AN806" s="59"/>
      <c r="AO806" s="59"/>
      <c r="AP806" s="59"/>
      <c r="AQ806" s="59"/>
    </row>
    <row r="807" spans="37:43" ht="13.2" x14ac:dyDescent="0.25">
      <c r="AK807" s="59"/>
      <c r="AL807" s="59"/>
      <c r="AM807" s="59"/>
      <c r="AN807" s="59"/>
      <c r="AO807" s="59"/>
      <c r="AP807" s="59"/>
      <c r="AQ807" s="59"/>
    </row>
    <row r="808" spans="37:43" ht="13.2" x14ac:dyDescent="0.25">
      <c r="AK808" s="59"/>
      <c r="AL808" s="59"/>
      <c r="AM808" s="59"/>
      <c r="AN808" s="59"/>
      <c r="AO808" s="59"/>
      <c r="AP808" s="59"/>
      <c r="AQ808" s="59"/>
    </row>
    <row r="809" spans="37:43" ht="13.2" x14ac:dyDescent="0.25">
      <c r="AK809" s="59"/>
      <c r="AL809" s="59"/>
      <c r="AM809" s="59"/>
      <c r="AN809" s="59"/>
      <c r="AO809" s="59"/>
      <c r="AP809" s="59"/>
      <c r="AQ809" s="59"/>
    </row>
    <row r="810" spans="37:43" ht="13.2" x14ac:dyDescent="0.25">
      <c r="AK810" s="59"/>
      <c r="AL810" s="59"/>
      <c r="AM810" s="59"/>
      <c r="AN810" s="59"/>
      <c r="AO810" s="59"/>
      <c r="AP810" s="59"/>
      <c r="AQ810" s="59"/>
    </row>
    <row r="811" spans="37:43" ht="13.2" x14ac:dyDescent="0.25">
      <c r="AK811" s="59"/>
      <c r="AL811" s="59"/>
      <c r="AM811" s="59"/>
      <c r="AN811" s="59"/>
      <c r="AO811" s="59"/>
      <c r="AP811" s="59"/>
      <c r="AQ811" s="59"/>
    </row>
    <row r="812" spans="37:43" ht="13.2" x14ac:dyDescent="0.25">
      <c r="AK812" s="59"/>
      <c r="AL812" s="59"/>
      <c r="AM812" s="59"/>
      <c r="AN812" s="59"/>
      <c r="AO812" s="59"/>
      <c r="AP812" s="59"/>
      <c r="AQ812" s="59"/>
    </row>
    <row r="813" spans="37:43" ht="13.2" x14ac:dyDescent="0.25">
      <c r="AK813" s="59"/>
      <c r="AL813" s="59"/>
      <c r="AM813" s="59"/>
      <c r="AN813" s="59"/>
      <c r="AO813" s="59"/>
      <c r="AP813" s="59"/>
      <c r="AQ813" s="59"/>
    </row>
    <row r="814" spans="37:43" ht="13.2" x14ac:dyDescent="0.25">
      <c r="AK814" s="59"/>
      <c r="AL814" s="59"/>
      <c r="AM814" s="59"/>
      <c r="AN814" s="59"/>
      <c r="AO814" s="59"/>
      <c r="AP814" s="59"/>
      <c r="AQ814" s="59"/>
    </row>
    <row r="815" spans="37:43" ht="13.2" x14ac:dyDescent="0.25">
      <c r="AK815" s="59"/>
      <c r="AL815" s="59"/>
      <c r="AM815" s="59"/>
      <c r="AN815" s="59"/>
      <c r="AO815" s="59"/>
      <c r="AP815" s="59"/>
      <c r="AQ815" s="59"/>
    </row>
    <row r="816" spans="37:43" ht="13.2" x14ac:dyDescent="0.25">
      <c r="AK816" s="59"/>
      <c r="AL816" s="59"/>
      <c r="AM816" s="59"/>
      <c r="AN816" s="59"/>
      <c r="AO816" s="59"/>
      <c r="AP816" s="59"/>
      <c r="AQ816" s="59"/>
    </row>
    <row r="817" spans="37:43" ht="13.2" x14ac:dyDescent="0.25">
      <c r="AK817" s="59"/>
      <c r="AL817" s="59"/>
      <c r="AM817" s="59"/>
      <c r="AN817" s="59"/>
      <c r="AO817" s="59"/>
      <c r="AP817" s="59"/>
      <c r="AQ817" s="59"/>
    </row>
    <row r="818" spans="37:43" ht="13.2" x14ac:dyDescent="0.25">
      <c r="AK818" s="59"/>
      <c r="AL818" s="59"/>
      <c r="AM818" s="59"/>
      <c r="AN818" s="59"/>
      <c r="AO818" s="59"/>
      <c r="AP818" s="59"/>
      <c r="AQ818" s="59"/>
    </row>
    <row r="819" spans="37:43" ht="13.2" x14ac:dyDescent="0.25">
      <c r="AK819" s="59"/>
      <c r="AL819" s="59"/>
      <c r="AM819" s="59"/>
      <c r="AN819" s="59"/>
      <c r="AO819" s="59"/>
      <c r="AP819" s="59"/>
      <c r="AQ819" s="59"/>
    </row>
    <row r="820" spans="37:43" ht="13.2" x14ac:dyDescent="0.25">
      <c r="AK820" s="59"/>
      <c r="AL820" s="59"/>
      <c r="AM820" s="59"/>
      <c r="AN820" s="59"/>
      <c r="AO820" s="59"/>
      <c r="AP820" s="59"/>
      <c r="AQ820" s="59"/>
    </row>
    <row r="821" spans="37:43" ht="13.2" x14ac:dyDescent="0.25">
      <c r="AK821" s="59"/>
      <c r="AL821" s="59"/>
      <c r="AM821" s="59"/>
      <c r="AN821" s="59"/>
      <c r="AO821" s="59"/>
      <c r="AP821" s="59"/>
      <c r="AQ821" s="59"/>
    </row>
    <row r="822" spans="37:43" ht="13.2" x14ac:dyDescent="0.25">
      <c r="AK822" s="59"/>
      <c r="AL822" s="59"/>
      <c r="AM822" s="59"/>
      <c r="AN822" s="59"/>
      <c r="AO822" s="59"/>
      <c r="AP822" s="59"/>
      <c r="AQ822" s="59"/>
    </row>
    <row r="823" spans="37:43" ht="13.2" x14ac:dyDescent="0.25">
      <c r="AK823" s="59"/>
      <c r="AL823" s="59"/>
      <c r="AM823" s="59"/>
      <c r="AN823" s="59"/>
      <c r="AO823" s="59"/>
      <c r="AP823" s="59"/>
      <c r="AQ823" s="59"/>
    </row>
    <row r="824" spans="37:43" ht="13.2" x14ac:dyDescent="0.25">
      <c r="AK824" s="59"/>
      <c r="AL824" s="59"/>
      <c r="AM824" s="59"/>
      <c r="AN824" s="59"/>
      <c r="AO824" s="59"/>
      <c r="AP824" s="59"/>
      <c r="AQ824" s="59"/>
    </row>
    <row r="825" spans="37:43" ht="13.2" x14ac:dyDescent="0.25">
      <c r="AK825" s="59"/>
      <c r="AL825" s="59"/>
      <c r="AM825" s="59"/>
      <c r="AN825" s="59"/>
      <c r="AO825" s="59"/>
      <c r="AP825" s="59"/>
      <c r="AQ825" s="59"/>
    </row>
    <row r="826" spans="37:43" ht="13.2" x14ac:dyDescent="0.25">
      <c r="AK826" s="59"/>
      <c r="AL826" s="59"/>
      <c r="AM826" s="59"/>
      <c r="AN826" s="59"/>
      <c r="AO826" s="59"/>
      <c r="AP826" s="59"/>
      <c r="AQ826" s="59"/>
    </row>
    <row r="827" spans="37:43" ht="13.2" x14ac:dyDescent="0.25">
      <c r="AK827" s="59"/>
      <c r="AL827" s="59"/>
      <c r="AM827" s="59"/>
      <c r="AN827" s="59"/>
      <c r="AO827" s="59"/>
      <c r="AP827" s="59"/>
      <c r="AQ827" s="59"/>
    </row>
    <row r="828" spans="37:43" ht="13.2" x14ac:dyDescent="0.25">
      <c r="AK828" s="59"/>
      <c r="AL828" s="59"/>
      <c r="AM828" s="59"/>
      <c r="AN828" s="59"/>
      <c r="AO828" s="59"/>
      <c r="AP828" s="59"/>
      <c r="AQ828" s="59"/>
    </row>
    <row r="829" spans="37:43" ht="13.2" x14ac:dyDescent="0.25">
      <c r="AK829" s="59"/>
      <c r="AL829" s="59"/>
      <c r="AM829" s="59"/>
      <c r="AN829" s="59"/>
      <c r="AO829" s="59"/>
      <c r="AP829" s="59"/>
      <c r="AQ829" s="59"/>
    </row>
    <row r="830" spans="37:43" ht="13.2" x14ac:dyDescent="0.25">
      <c r="AK830" s="59"/>
      <c r="AL830" s="59"/>
      <c r="AM830" s="59"/>
      <c r="AN830" s="59"/>
      <c r="AO830" s="59"/>
      <c r="AP830" s="59"/>
      <c r="AQ830" s="59"/>
    </row>
    <row r="831" spans="37:43" ht="13.2" x14ac:dyDescent="0.25">
      <c r="AK831" s="59"/>
      <c r="AL831" s="59"/>
      <c r="AM831" s="59"/>
      <c r="AN831" s="59"/>
      <c r="AO831" s="59"/>
      <c r="AP831" s="59"/>
      <c r="AQ831" s="59"/>
    </row>
    <row r="832" spans="37:43" ht="13.2" x14ac:dyDescent="0.25">
      <c r="AK832" s="59"/>
      <c r="AL832" s="59"/>
      <c r="AM832" s="59"/>
      <c r="AN832" s="59"/>
      <c r="AO832" s="59"/>
      <c r="AP832" s="59"/>
      <c r="AQ832" s="59"/>
    </row>
    <row r="833" spans="37:43" ht="13.2" x14ac:dyDescent="0.25">
      <c r="AK833" s="59"/>
      <c r="AL833" s="59"/>
      <c r="AM833" s="59"/>
      <c r="AN833" s="59"/>
      <c r="AO833" s="59"/>
      <c r="AP833" s="59"/>
      <c r="AQ833" s="59"/>
    </row>
    <row r="834" spans="37:43" ht="13.2" x14ac:dyDescent="0.25">
      <c r="AK834" s="59"/>
      <c r="AL834" s="59"/>
      <c r="AM834" s="59"/>
      <c r="AN834" s="59"/>
      <c r="AO834" s="59"/>
      <c r="AP834" s="59"/>
      <c r="AQ834" s="59"/>
    </row>
    <row r="835" spans="37:43" ht="13.2" x14ac:dyDescent="0.25">
      <c r="AK835" s="59"/>
      <c r="AL835" s="59"/>
      <c r="AM835" s="59"/>
      <c r="AN835" s="59"/>
      <c r="AO835" s="59"/>
      <c r="AP835" s="59"/>
      <c r="AQ835" s="59"/>
    </row>
    <row r="836" spans="37:43" ht="13.2" x14ac:dyDescent="0.25">
      <c r="AK836" s="59"/>
      <c r="AL836" s="59"/>
      <c r="AM836" s="59"/>
      <c r="AN836" s="59"/>
      <c r="AO836" s="59"/>
      <c r="AP836" s="59"/>
      <c r="AQ836" s="59"/>
    </row>
    <row r="837" spans="37:43" ht="13.2" x14ac:dyDescent="0.25">
      <c r="AK837" s="59"/>
      <c r="AL837" s="59"/>
      <c r="AM837" s="59"/>
      <c r="AN837" s="59"/>
      <c r="AO837" s="59"/>
      <c r="AP837" s="59"/>
      <c r="AQ837" s="59"/>
    </row>
    <row r="838" spans="37:43" ht="13.2" x14ac:dyDescent="0.25">
      <c r="AK838" s="59"/>
      <c r="AL838" s="59"/>
      <c r="AM838" s="59"/>
      <c r="AN838" s="59"/>
      <c r="AO838" s="59"/>
      <c r="AP838" s="59"/>
      <c r="AQ838" s="59"/>
    </row>
    <row r="839" spans="37:43" ht="13.2" x14ac:dyDescent="0.25">
      <c r="AK839" s="59"/>
      <c r="AL839" s="59"/>
      <c r="AM839" s="59"/>
      <c r="AN839" s="59"/>
      <c r="AO839" s="59"/>
      <c r="AP839" s="59"/>
      <c r="AQ839" s="59"/>
    </row>
    <row r="840" spans="37:43" ht="13.2" x14ac:dyDescent="0.25">
      <c r="AK840" s="59"/>
      <c r="AL840" s="59"/>
      <c r="AM840" s="59"/>
      <c r="AN840" s="59"/>
      <c r="AO840" s="59"/>
      <c r="AP840" s="59"/>
      <c r="AQ840" s="59"/>
    </row>
    <row r="841" spans="37:43" ht="13.2" x14ac:dyDescent="0.25">
      <c r="AK841" s="59"/>
      <c r="AL841" s="59"/>
      <c r="AM841" s="59"/>
      <c r="AN841" s="59"/>
      <c r="AO841" s="59"/>
      <c r="AP841" s="59"/>
      <c r="AQ841" s="59"/>
    </row>
    <row r="842" spans="37:43" ht="13.2" x14ac:dyDescent="0.25">
      <c r="AK842" s="59"/>
      <c r="AL842" s="59"/>
      <c r="AM842" s="59"/>
      <c r="AN842" s="59"/>
      <c r="AO842" s="59"/>
      <c r="AP842" s="59"/>
      <c r="AQ842" s="59"/>
    </row>
    <row r="843" spans="37:43" ht="13.2" x14ac:dyDescent="0.25">
      <c r="AK843" s="59"/>
      <c r="AL843" s="59"/>
      <c r="AM843" s="59"/>
      <c r="AN843" s="59"/>
      <c r="AO843" s="59"/>
      <c r="AP843" s="59"/>
      <c r="AQ843" s="59"/>
    </row>
    <row r="844" spans="37:43" ht="13.2" x14ac:dyDescent="0.25">
      <c r="AK844" s="59"/>
      <c r="AL844" s="59"/>
      <c r="AM844" s="59"/>
      <c r="AN844" s="59"/>
      <c r="AO844" s="59"/>
      <c r="AP844" s="59"/>
      <c r="AQ844" s="59"/>
    </row>
    <row r="845" spans="37:43" ht="13.2" x14ac:dyDescent="0.25">
      <c r="AK845" s="59"/>
      <c r="AL845" s="59"/>
      <c r="AM845" s="59"/>
      <c r="AN845" s="59"/>
      <c r="AO845" s="59"/>
      <c r="AP845" s="59"/>
      <c r="AQ845" s="59"/>
    </row>
    <row r="846" spans="37:43" ht="13.2" x14ac:dyDescent="0.25">
      <c r="AK846" s="59"/>
      <c r="AL846" s="59"/>
      <c r="AM846" s="59"/>
      <c r="AN846" s="59"/>
      <c r="AO846" s="59"/>
      <c r="AP846" s="59"/>
      <c r="AQ846" s="59"/>
    </row>
    <row r="847" spans="37:43" ht="13.2" x14ac:dyDescent="0.25">
      <c r="AK847" s="59"/>
      <c r="AL847" s="59"/>
      <c r="AM847" s="59"/>
      <c r="AN847" s="59"/>
      <c r="AO847" s="59"/>
      <c r="AP847" s="59"/>
      <c r="AQ847" s="59"/>
    </row>
    <row r="848" spans="37:43" ht="13.2" x14ac:dyDescent="0.25">
      <c r="AK848" s="59"/>
      <c r="AL848" s="59"/>
      <c r="AM848" s="59"/>
      <c r="AN848" s="59"/>
      <c r="AO848" s="59"/>
      <c r="AP848" s="59"/>
      <c r="AQ848" s="59"/>
    </row>
    <row r="849" spans="37:43" ht="13.2" x14ac:dyDescent="0.25">
      <c r="AK849" s="59"/>
      <c r="AL849" s="59"/>
      <c r="AM849" s="59"/>
      <c r="AN849" s="59"/>
      <c r="AO849" s="59"/>
      <c r="AP849" s="59"/>
      <c r="AQ849" s="59"/>
    </row>
    <row r="850" spans="37:43" ht="13.2" x14ac:dyDescent="0.25">
      <c r="AK850" s="59"/>
      <c r="AL850" s="59"/>
      <c r="AM850" s="59"/>
      <c r="AN850" s="59"/>
      <c r="AO850" s="59"/>
      <c r="AP850" s="59"/>
      <c r="AQ850" s="59"/>
    </row>
    <row r="851" spans="37:43" ht="13.2" x14ac:dyDescent="0.25">
      <c r="AK851" s="59"/>
      <c r="AL851" s="59"/>
      <c r="AM851" s="59"/>
      <c r="AN851" s="59"/>
      <c r="AO851" s="59"/>
      <c r="AP851" s="59"/>
      <c r="AQ851" s="59"/>
    </row>
    <row r="852" spans="37:43" ht="13.2" x14ac:dyDescent="0.25">
      <c r="AK852" s="59"/>
      <c r="AL852" s="59"/>
      <c r="AM852" s="59"/>
      <c r="AN852" s="59"/>
      <c r="AO852" s="59"/>
      <c r="AP852" s="59"/>
      <c r="AQ852" s="59"/>
    </row>
    <row r="853" spans="37:43" ht="13.2" x14ac:dyDescent="0.25">
      <c r="AK853" s="59"/>
      <c r="AL853" s="59"/>
      <c r="AM853" s="59"/>
      <c r="AN853" s="59"/>
      <c r="AO853" s="59"/>
      <c r="AP853" s="59"/>
      <c r="AQ853" s="59"/>
    </row>
    <row r="854" spans="37:43" ht="13.2" x14ac:dyDescent="0.25">
      <c r="AK854" s="59"/>
      <c r="AL854" s="59"/>
      <c r="AM854" s="59"/>
      <c r="AN854" s="59"/>
      <c r="AO854" s="59"/>
      <c r="AP854" s="59"/>
      <c r="AQ854" s="59"/>
    </row>
    <row r="855" spans="37:43" ht="13.2" x14ac:dyDescent="0.25">
      <c r="AK855" s="59"/>
      <c r="AL855" s="59"/>
      <c r="AM855" s="59"/>
      <c r="AN855" s="59"/>
      <c r="AO855" s="59"/>
      <c r="AP855" s="59"/>
      <c r="AQ855" s="59"/>
    </row>
    <row r="856" spans="37:43" ht="13.2" x14ac:dyDescent="0.25">
      <c r="AK856" s="59"/>
      <c r="AL856" s="59"/>
      <c r="AM856" s="59"/>
      <c r="AN856" s="59"/>
      <c r="AO856" s="59"/>
      <c r="AP856" s="59"/>
      <c r="AQ856" s="59"/>
    </row>
    <row r="857" spans="37:43" ht="13.2" x14ac:dyDescent="0.25">
      <c r="AK857" s="59"/>
      <c r="AL857" s="59"/>
      <c r="AM857" s="59"/>
      <c r="AN857" s="59"/>
      <c r="AO857" s="59"/>
      <c r="AP857" s="59"/>
      <c r="AQ857" s="59"/>
    </row>
    <row r="858" spans="37:43" ht="13.2" x14ac:dyDescent="0.25">
      <c r="AK858" s="59"/>
      <c r="AL858" s="59"/>
      <c r="AM858" s="59"/>
      <c r="AN858" s="59"/>
      <c r="AO858" s="59"/>
      <c r="AP858" s="59"/>
      <c r="AQ858" s="59"/>
    </row>
    <row r="859" spans="37:43" ht="13.2" x14ac:dyDescent="0.25">
      <c r="AK859" s="59"/>
      <c r="AL859" s="59"/>
      <c r="AM859" s="59"/>
      <c r="AN859" s="59"/>
      <c r="AO859" s="59"/>
      <c r="AP859" s="59"/>
      <c r="AQ859" s="59"/>
    </row>
    <row r="860" spans="37:43" ht="13.2" x14ac:dyDescent="0.25">
      <c r="AK860" s="59"/>
      <c r="AL860" s="59"/>
      <c r="AM860" s="59"/>
      <c r="AN860" s="59"/>
      <c r="AO860" s="59"/>
      <c r="AP860" s="59"/>
      <c r="AQ860" s="59"/>
    </row>
    <row r="861" spans="37:43" ht="13.2" x14ac:dyDescent="0.25">
      <c r="AK861" s="59"/>
      <c r="AL861" s="59"/>
      <c r="AM861" s="59"/>
      <c r="AN861" s="59"/>
      <c r="AO861" s="59"/>
      <c r="AP861" s="59"/>
      <c r="AQ861" s="59"/>
    </row>
    <row r="862" spans="37:43" ht="13.2" x14ac:dyDescent="0.25">
      <c r="AK862" s="59"/>
      <c r="AL862" s="59"/>
      <c r="AM862" s="59"/>
      <c r="AN862" s="59"/>
      <c r="AO862" s="59"/>
      <c r="AP862" s="59"/>
      <c r="AQ862" s="59"/>
    </row>
    <row r="863" spans="37:43" ht="13.2" x14ac:dyDescent="0.25">
      <c r="AK863" s="59"/>
      <c r="AL863" s="59"/>
      <c r="AM863" s="59"/>
      <c r="AN863" s="59"/>
      <c r="AO863" s="59"/>
      <c r="AP863" s="59"/>
      <c r="AQ863" s="59"/>
    </row>
    <row r="864" spans="37:43" ht="13.2" x14ac:dyDescent="0.25">
      <c r="AK864" s="59"/>
      <c r="AL864" s="59"/>
      <c r="AM864" s="59"/>
      <c r="AN864" s="59"/>
      <c r="AO864" s="59"/>
      <c r="AP864" s="59"/>
      <c r="AQ864" s="59"/>
    </row>
    <row r="865" spans="37:43" ht="13.2" x14ac:dyDescent="0.25">
      <c r="AK865" s="59"/>
      <c r="AL865" s="59"/>
      <c r="AM865" s="59"/>
      <c r="AN865" s="59"/>
      <c r="AO865" s="59"/>
      <c r="AP865" s="59"/>
      <c r="AQ865" s="59"/>
    </row>
    <row r="866" spans="37:43" ht="13.2" x14ac:dyDescent="0.25">
      <c r="AK866" s="59"/>
      <c r="AL866" s="59"/>
      <c r="AM866" s="59"/>
      <c r="AN866" s="59"/>
      <c r="AO866" s="59"/>
      <c r="AP866" s="59"/>
      <c r="AQ866" s="59"/>
    </row>
    <row r="867" spans="37:43" ht="13.2" x14ac:dyDescent="0.25">
      <c r="AK867" s="59"/>
      <c r="AL867" s="59"/>
      <c r="AM867" s="59"/>
      <c r="AN867" s="59"/>
      <c r="AO867" s="59"/>
      <c r="AP867" s="59"/>
      <c r="AQ867" s="59"/>
    </row>
    <row r="868" spans="37:43" ht="13.2" x14ac:dyDescent="0.25">
      <c r="AK868" s="59"/>
      <c r="AL868" s="59"/>
      <c r="AM868" s="59"/>
      <c r="AN868" s="59"/>
      <c r="AO868" s="59"/>
      <c r="AP868" s="59"/>
      <c r="AQ868" s="59"/>
    </row>
    <row r="869" spans="37:43" ht="13.2" x14ac:dyDescent="0.25">
      <c r="AK869" s="59"/>
      <c r="AL869" s="59"/>
      <c r="AM869" s="59"/>
      <c r="AN869" s="59"/>
      <c r="AO869" s="59"/>
      <c r="AP869" s="59"/>
      <c r="AQ869" s="59"/>
    </row>
    <row r="870" spans="37:43" ht="13.2" x14ac:dyDescent="0.25">
      <c r="AK870" s="59"/>
      <c r="AL870" s="59"/>
      <c r="AM870" s="59"/>
      <c r="AN870" s="59"/>
      <c r="AO870" s="59"/>
      <c r="AP870" s="59"/>
      <c r="AQ870" s="59"/>
    </row>
    <row r="871" spans="37:43" ht="13.2" x14ac:dyDescent="0.25">
      <c r="AK871" s="59"/>
      <c r="AL871" s="59"/>
      <c r="AM871" s="59"/>
      <c r="AN871" s="59"/>
      <c r="AO871" s="59"/>
      <c r="AP871" s="59"/>
      <c r="AQ871" s="59"/>
    </row>
    <row r="872" spans="37:43" ht="13.2" x14ac:dyDescent="0.25">
      <c r="AK872" s="59"/>
      <c r="AL872" s="59"/>
      <c r="AM872" s="59"/>
      <c r="AN872" s="59"/>
      <c r="AO872" s="59"/>
      <c r="AP872" s="59"/>
      <c r="AQ872" s="59"/>
    </row>
    <row r="873" spans="37:43" ht="13.2" x14ac:dyDescent="0.25">
      <c r="AK873" s="59"/>
      <c r="AL873" s="59"/>
      <c r="AM873" s="59"/>
      <c r="AN873" s="59"/>
      <c r="AO873" s="59"/>
      <c r="AP873" s="59"/>
      <c r="AQ873" s="59"/>
    </row>
    <row r="874" spans="37:43" ht="13.2" x14ac:dyDescent="0.25">
      <c r="AK874" s="59"/>
      <c r="AL874" s="59"/>
      <c r="AM874" s="59"/>
      <c r="AN874" s="59"/>
      <c r="AO874" s="59"/>
      <c r="AP874" s="59"/>
      <c r="AQ874" s="59"/>
    </row>
    <row r="875" spans="37:43" ht="13.2" x14ac:dyDescent="0.25">
      <c r="AK875" s="59"/>
      <c r="AL875" s="59"/>
      <c r="AM875" s="59"/>
      <c r="AN875" s="59"/>
      <c r="AO875" s="59"/>
      <c r="AP875" s="59"/>
      <c r="AQ875" s="59"/>
    </row>
    <row r="876" spans="37:43" ht="13.2" x14ac:dyDescent="0.25">
      <c r="AK876" s="59"/>
      <c r="AL876" s="59"/>
      <c r="AM876" s="59"/>
      <c r="AN876" s="59"/>
      <c r="AO876" s="59"/>
      <c r="AP876" s="59"/>
      <c r="AQ876" s="59"/>
    </row>
    <row r="877" spans="37:43" ht="13.2" x14ac:dyDescent="0.25">
      <c r="AK877" s="59"/>
      <c r="AL877" s="59"/>
      <c r="AM877" s="59"/>
      <c r="AN877" s="59"/>
      <c r="AO877" s="59"/>
      <c r="AP877" s="59"/>
      <c r="AQ877" s="59"/>
    </row>
    <row r="878" spans="37:43" ht="13.2" x14ac:dyDescent="0.25">
      <c r="AK878" s="59"/>
      <c r="AL878" s="59"/>
      <c r="AM878" s="59"/>
      <c r="AN878" s="59"/>
      <c r="AO878" s="59"/>
      <c r="AP878" s="59"/>
      <c r="AQ878" s="59"/>
    </row>
    <row r="879" spans="37:43" ht="13.2" x14ac:dyDescent="0.25">
      <c r="AK879" s="59"/>
      <c r="AL879" s="59"/>
      <c r="AM879" s="59"/>
      <c r="AN879" s="59"/>
      <c r="AO879" s="59"/>
      <c r="AP879" s="59"/>
      <c r="AQ879" s="59"/>
    </row>
    <row r="880" spans="37:43" ht="13.2" x14ac:dyDescent="0.25">
      <c r="AK880" s="59"/>
      <c r="AL880" s="59"/>
      <c r="AM880" s="59"/>
      <c r="AN880" s="59"/>
      <c r="AO880" s="59"/>
      <c r="AP880" s="59"/>
      <c r="AQ880" s="59"/>
    </row>
    <row r="881" spans="37:43" ht="13.2" x14ac:dyDescent="0.25">
      <c r="AK881" s="59"/>
      <c r="AL881" s="59"/>
      <c r="AM881" s="59"/>
      <c r="AN881" s="59"/>
      <c r="AO881" s="59"/>
      <c r="AP881" s="59"/>
      <c r="AQ881" s="59"/>
    </row>
    <row r="882" spans="37:43" ht="13.2" x14ac:dyDescent="0.25">
      <c r="AK882" s="59"/>
      <c r="AL882" s="59"/>
      <c r="AM882" s="59"/>
      <c r="AN882" s="59"/>
      <c r="AO882" s="59"/>
      <c r="AP882" s="59"/>
      <c r="AQ882" s="59"/>
    </row>
    <row r="883" spans="37:43" ht="13.2" x14ac:dyDescent="0.25">
      <c r="AK883" s="59"/>
      <c r="AL883" s="59"/>
      <c r="AM883" s="59"/>
      <c r="AN883" s="59"/>
      <c r="AO883" s="59"/>
      <c r="AP883" s="59"/>
      <c r="AQ883" s="59"/>
    </row>
    <row r="884" spans="37:43" ht="13.2" x14ac:dyDescent="0.25">
      <c r="AK884" s="59"/>
      <c r="AL884" s="59"/>
      <c r="AM884" s="59"/>
      <c r="AN884" s="59"/>
      <c r="AO884" s="59"/>
      <c r="AP884" s="59"/>
      <c r="AQ884" s="59"/>
    </row>
    <row r="885" spans="37:43" ht="13.2" x14ac:dyDescent="0.25">
      <c r="AK885" s="59"/>
      <c r="AL885" s="59"/>
      <c r="AM885" s="59"/>
      <c r="AN885" s="59"/>
      <c r="AO885" s="59"/>
      <c r="AP885" s="59"/>
      <c r="AQ885" s="59"/>
    </row>
    <row r="886" spans="37:43" ht="13.2" x14ac:dyDescent="0.25">
      <c r="AK886" s="59"/>
      <c r="AL886" s="59"/>
      <c r="AM886" s="59"/>
      <c r="AN886" s="59"/>
      <c r="AO886" s="59"/>
      <c r="AP886" s="59"/>
      <c r="AQ886" s="59"/>
    </row>
    <row r="887" spans="37:43" ht="13.2" x14ac:dyDescent="0.25">
      <c r="AK887" s="59"/>
      <c r="AL887" s="59"/>
      <c r="AM887" s="59"/>
      <c r="AN887" s="59"/>
      <c r="AO887" s="59"/>
      <c r="AP887" s="59"/>
      <c r="AQ887" s="59"/>
    </row>
    <row r="888" spans="37:43" ht="13.2" x14ac:dyDescent="0.25">
      <c r="AK888" s="59"/>
      <c r="AL888" s="59"/>
      <c r="AM888" s="59"/>
      <c r="AN888" s="59"/>
      <c r="AO888" s="59"/>
      <c r="AP888" s="59"/>
      <c r="AQ888" s="59"/>
    </row>
    <row r="889" spans="37:43" ht="13.2" x14ac:dyDescent="0.25">
      <c r="AK889" s="59"/>
      <c r="AL889" s="59"/>
      <c r="AM889" s="59"/>
      <c r="AN889" s="59"/>
      <c r="AO889" s="59"/>
      <c r="AP889" s="59"/>
      <c r="AQ889" s="59"/>
    </row>
    <row r="890" spans="37:43" ht="13.2" x14ac:dyDescent="0.25">
      <c r="AK890" s="59"/>
      <c r="AL890" s="59"/>
      <c r="AM890" s="59"/>
      <c r="AN890" s="59"/>
      <c r="AO890" s="59"/>
      <c r="AP890" s="59"/>
      <c r="AQ890" s="59"/>
    </row>
    <row r="891" spans="37:43" ht="13.2" x14ac:dyDescent="0.25">
      <c r="AK891" s="59"/>
      <c r="AL891" s="59"/>
      <c r="AM891" s="59"/>
      <c r="AN891" s="59"/>
      <c r="AO891" s="59"/>
      <c r="AP891" s="59"/>
      <c r="AQ891" s="59"/>
    </row>
    <row r="892" spans="37:43" ht="13.2" x14ac:dyDescent="0.25">
      <c r="AK892" s="59"/>
      <c r="AL892" s="59"/>
      <c r="AM892" s="59"/>
      <c r="AN892" s="59"/>
      <c r="AO892" s="59"/>
      <c r="AP892" s="59"/>
      <c r="AQ892" s="59"/>
    </row>
    <row r="893" spans="37:43" ht="13.2" x14ac:dyDescent="0.25">
      <c r="AK893" s="59"/>
      <c r="AL893" s="59"/>
      <c r="AM893" s="59"/>
      <c r="AN893" s="59"/>
      <c r="AO893" s="59"/>
      <c r="AP893" s="59"/>
      <c r="AQ893" s="59"/>
    </row>
    <row r="894" spans="37:43" ht="13.2" x14ac:dyDescent="0.25">
      <c r="AK894" s="59"/>
      <c r="AL894" s="59"/>
      <c r="AM894" s="59"/>
      <c r="AN894" s="59"/>
      <c r="AO894" s="59"/>
      <c r="AP894" s="59"/>
      <c r="AQ894" s="59"/>
    </row>
    <row r="895" spans="37:43" ht="13.2" x14ac:dyDescent="0.25">
      <c r="AK895" s="59"/>
      <c r="AL895" s="59"/>
      <c r="AM895" s="59"/>
      <c r="AN895" s="59"/>
      <c r="AO895" s="59"/>
      <c r="AP895" s="59"/>
      <c r="AQ895" s="59"/>
    </row>
    <row r="896" spans="37:43" ht="13.2" x14ac:dyDescent="0.25">
      <c r="AK896" s="59"/>
      <c r="AL896" s="59"/>
      <c r="AM896" s="59"/>
      <c r="AN896" s="59"/>
      <c r="AO896" s="59"/>
      <c r="AP896" s="59"/>
      <c r="AQ896" s="59"/>
    </row>
    <row r="897" spans="37:43" ht="13.2" x14ac:dyDescent="0.25">
      <c r="AK897" s="59"/>
      <c r="AL897" s="59"/>
      <c r="AM897" s="59"/>
      <c r="AN897" s="59"/>
      <c r="AO897" s="59"/>
      <c r="AP897" s="59"/>
      <c r="AQ897" s="59"/>
    </row>
    <row r="898" spans="37:43" ht="13.2" x14ac:dyDescent="0.25">
      <c r="AK898" s="59"/>
      <c r="AL898" s="59"/>
      <c r="AM898" s="59"/>
      <c r="AN898" s="59"/>
      <c r="AO898" s="59"/>
      <c r="AP898" s="59"/>
      <c r="AQ898" s="59"/>
    </row>
    <row r="899" spans="37:43" ht="13.2" x14ac:dyDescent="0.25">
      <c r="AK899" s="59"/>
      <c r="AL899" s="59"/>
      <c r="AM899" s="59"/>
      <c r="AN899" s="59"/>
      <c r="AO899" s="59"/>
      <c r="AP899" s="59"/>
      <c r="AQ899" s="59"/>
    </row>
    <row r="900" spans="37:43" ht="13.2" x14ac:dyDescent="0.25">
      <c r="AK900" s="59"/>
      <c r="AL900" s="59"/>
      <c r="AM900" s="59"/>
      <c r="AN900" s="59"/>
      <c r="AO900" s="59"/>
      <c r="AP900" s="59"/>
      <c r="AQ900" s="59"/>
    </row>
    <row r="901" spans="37:43" ht="13.2" x14ac:dyDescent="0.25">
      <c r="AK901" s="59"/>
      <c r="AL901" s="59"/>
      <c r="AM901" s="59"/>
      <c r="AN901" s="59"/>
      <c r="AO901" s="59"/>
      <c r="AP901" s="59"/>
      <c r="AQ901" s="59"/>
    </row>
    <row r="902" spans="37:43" ht="13.2" x14ac:dyDescent="0.25">
      <c r="AK902" s="59"/>
      <c r="AL902" s="59"/>
      <c r="AM902" s="59"/>
      <c r="AN902" s="59"/>
      <c r="AO902" s="59"/>
      <c r="AP902" s="59"/>
      <c r="AQ902" s="59"/>
    </row>
    <row r="903" spans="37:43" ht="13.2" x14ac:dyDescent="0.25">
      <c r="AK903" s="59"/>
      <c r="AL903" s="59"/>
      <c r="AM903" s="59"/>
      <c r="AN903" s="59"/>
      <c r="AO903" s="59"/>
      <c r="AP903" s="59"/>
      <c r="AQ903" s="59"/>
    </row>
    <row r="904" spans="37:43" ht="13.2" x14ac:dyDescent="0.25">
      <c r="AK904" s="59"/>
      <c r="AL904" s="59"/>
      <c r="AM904" s="59"/>
      <c r="AN904" s="59"/>
      <c r="AO904" s="59"/>
      <c r="AP904" s="59"/>
      <c r="AQ904" s="59"/>
    </row>
    <row r="905" spans="37:43" ht="13.2" x14ac:dyDescent="0.25">
      <c r="AK905" s="59"/>
      <c r="AL905" s="59"/>
      <c r="AM905" s="59"/>
      <c r="AN905" s="59"/>
      <c r="AO905" s="59"/>
      <c r="AP905" s="59"/>
      <c r="AQ905" s="59"/>
    </row>
    <row r="906" spans="37:43" ht="13.2" x14ac:dyDescent="0.25">
      <c r="AK906" s="59"/>
      <c r="AL906" s="59"/>
      <c r="AM906" s="59"/>
      <c r="AN906" s="59"/>
      <c r="AO906" s="59"/>
      <c r="AP906" s="59"/>
      <c r="AQ906" s="59"/>
    </row>
    <row r="907" spans="37:43" ht="13.2" x14ac:dyDescent="0.25">
      <c r="AK907" s="59"/>
      <c r="AL907" s="59"/>
      <c r="AM907" s="59"/>
      <c r="AN907" s="59"/>
      <c r="AO907" s="59"/>
      <c r="AP907" s="59"/>
      <c r="AQ907" s="59"/>
    </row>
    <row r="908" spans="37:43" ht="13.2" x14ac:dyDescent="0.25">
      <c r="AK908" s="59"/>
      <c r="AL908" s="59"/>
      <c r="AM908" s="59"/>
      <c r="AN908" s="59"/>
      <c r="AO908" s="59"/>
      <c r="AP908" s="59"/>
      <c r="AQ908" s="59"/>
    </row>
    <row r="909" spans="37:43" ht="13.2" x14ac:dyDescent="0.25">
      <c r="AK909" s="59"/>
      <c r="AL909" s="59"/>
      <c r="AM909" s="59"/>
      <c r="AN909" s="59"/>
      <c r="AO909" s="59"/>
      <c r="AP909" s="59"/>
      <c r="AQ909" s="59"/>
    </row>
    <row r="910" spans="37:43" ht="13.2" x14ac:dyDescent="0.25">
      <c r="AK910" s="59"/>
      <c r="AL910" s="59"/>
      <c r="AM910" s="59"/>
      <c r="AN910" s="59"/>
      <c r="AO910" s="59"/>
      <c r="AP910" s="59"/>
      <c r="AQ910" s="59"/>
    </row>
    <row r="911" spans="37:43" ht="13.2" x14ac:dyDescent="0.25">
      <c r="AK911" s="59"/>
      <c r="AL911" s="59"/>
      <c r="AM911" s="59"/>
      <c r="AN911" s="59"/>
      <c r="AO911" s="59"/>
      <c r="AP911" s="59"/>
      <c r="AQ911" s="59"/>
    </row>
    <row r="912" spans="37:43" ht="13.2" x14ac:dyDescent="0.25">
      <c r="AK912" s="59"/>
      <c r="AL912" s="59"/>
      <c r="AM912" s="59"/>
      <c r="AN912" s="59"/>
      <c r="AO912" s="59"/>
      <c r="AP912" s="59"/>
      <c r="AQ912" s="59"/>
    </row>
    <row r="913" spans="37:43" ht="13.2" x14ac:dyDescent="0.25">
      <c r="AK913" s="59"/>
      <c r="AL913" s="59"/>
      <c r="AM913" s="59"/>
      <c r="AN913" s="59"/>
      <c r="AO913" s="59"/>
      <c r="AP913" s="59"/>
      <c r="AQ913" s="59"/>
    </row>
    <row r="914" spans="37:43" ht="13.2" x14ac:dyDescent="0.25">
      <c r="AK914" s="59"/>
      <c r="AL914" s="59"/>
      <c r="AM914" s="59"/>
      <c r="AN914" s="59"/>
      <c r="AO914" s="59"/>
      <c r="AP914" s="59"/>
      <c r="AQ914" s="59"/>
    </row>
    <row r="915" spans="37:43" ht="13.2" x14ac:dyDescent="0.25">
      <c r="AK915" s="59"/>
      <c r="AL915" s="59"/>
      <c r="AM915" s="59"/>
      <c r="AN915" s="59"/>
      <c r="AO915" s="59"/>
      <c r="AP915" s="59"/>
      <c r="AQ915" s="59"/>
    </row>
    <row r="916" spans="37:43" ht="13.2" x14ac:dyDescent="0.25">
      <c r="AK916" s="59"/>
      <c r="AL916" s="59"/>
      <c r="AM916" s="59"/>
      <c r="AN916" s="59"/>
      <c r="AO916" s="59"/>
      <c r="AP916" s="59"/>
      <c r="AQ916" s="59"/>
    </row>
    <row r="917" spans="37:43" ht="13.2" x14ac:dyDescent="0.25">
      <c r="AK917" s="59"/>
      <c r="AL917" s="59"/>
      <c r="AM917" s="59"/>
      <c r="AN917" s="59"/>
      <c r="AO917" s="59"/>
      <c r="AP917" s="59"/>
      <c r="AQ917" s="59"/>
    </row>
    <row r="918" spans="37:43" ht="13.2" x14ac:dyDescent="0.25">
      <c r="AK918" s="59"/>
      <c r="AL918" s="59"/>
      <c r="AM918" s="59"/>
      <c r="AN918" s="59"/>
      <c r="AO918" s="59"/>
      <c r="AP918" s="59"/>
      <c r="AQ918" s="59"/>
    </row>
    <row r="919" spans="37:43" ht="13.2" x14ac:dyDescent="0.25">
      <c r="AK919" s="59"/>
      <c r="AL919" s="59"/>
      <c r="AM919" s="59"/>
      <c r="AN919" s="59"/>
      <c r="AO919" s="59"/>
      <c r="AP919" s="59"/>
      <c r="AQ919" s="59"/>
    </row>
    <row r="920" spans="37:43" ht="13.2" x14ac:dyDescent="0.25">
      <c r="AK920" s="59"/>
      <c r="AL920" s="59"/>
      <c r="AM920" s="59"/>
      <c r="AN920" s="59"/>
      <c r="AO920" s="59"/>
      <c r="AP920" s="59"/>
      <c r="AQ920" s="59"/>
    </row>
    <row r="921" spans="37:43" ht="13.2" x14ac:dyDescent="0.25">
      <c r="AK921" s="59"/>
      <c r="AL921" s="59"/>
      <c r="AM921" s="59"/>
      <c r="AN921" s="59"/>
      <c r="AO921" s="59"/>
      <c r="AP921" s="59"/>
      <c r="AQ921" s="59"/>
    </row>
    <row r="922" spans="37:43" ht="13.2" x14ac:dyDescent="0.25">
      <c r="AK922" s="59"/>
      <c r="AL922" s="59"/>
      <c r="AM922" s="59"/>
      <c r="AN922" s="59"/>
      <c r="AO922" s="59"/>
      <c r="AP922" s="59"/>
      <c r="AQ922" s="59"/>
    </row>
    <row r="923" spans="37:43" ht="13.2" x14ac:dyDescent="0.25">
      <c r="AK923" s="59"/>
      <c r="AL923" s="59"/>
      <c r="AM923" s="59"/>
      <c r="AN923" s="59"/>
      <c r="AO923" s="59"/>
      <c r="AP923" s="59"/>
      <c r="AQ923" s="59"/>
    </row>
    <row r="924" spans="37:43" ht="13.2" x14ac:dyDescent="0.25">
      <c r="AK924" s="59"/>
      <c r="AL924" s="59"/>
      <c r="AM924" s="59"/>
      <c r="AN924" s="59"/>
      <c r="AO924" s="59"/>
      <c r="AP924" s="59"/>
      <c r="AQ924" s="59"/>
    </row>
    <row r="925" spans="37:43" ht="13.2" x14ac:dyDescent="0.25">
      <c r="AK925" s="59"/>
      <c r="AL925" s="59"/>
      <c r="AM925" s="59"/>
      <c r="AN925" s="59"/>
      <c r="AO925" s="59"/>
      <c r="AP925" s="59"/>
      <c r="AQ925" s="59"/>
    </row>
    <row r="926" spans="37:43" ht="13.2" x14ac:dyDescent="0.25">
      <c r="AK926" s="59"/>
      <c r="AL926" s="59"/>
      <c r="AM926" s="59"/>
      <c r="AN926" s="59"/>
      <c r="AO926" s="59"/>
      <c r="AP926" s="59"/>
      <c r="AQ926" s="59"/>
    </row>
    <row r="927" spans="37:43" ht="13.2" x14ac:dyDescent="0.25">
      <c r="AK927" s="59"/>
      <c r="AL927" s="59"/>
      <c r="AM927" s="59"/>
      <c r="AN927" s="59"/>
      <c r="AO927" s="59"/>
      <c r="AP927" s="59"/>
      <c r="AQ927" s="59"/>
    </row>
    <row r="928" spans="37:43" ht="13.2" x14ac:dyDescent="0.25">
      <c r="AK928" s="59"/>
      <c r="AL928" s="59"/>
      <c r="AM928" s="59"/>
      <c r="AN928" s="59"/>
      <c r="AO928" s="59"/>
      <c r="AP928" s="59"/>
      <c r="AQ928" s="59"/>
    </row>
    <row r="929" spans="37:43" ht="13.2" x14ac:dyDescent="0.25">
      <c r="AK929" s="59"/>
      <c r="AL929" s="59"/>
      <c r="AM929" s="59"/>
      <c r="AN929" s="59"/>
      <c r="AO929" s="59"/>
      <c r="AP929" s="59"/>
      <c r="AQ929" s="59"/>
    </row>
    <row r="930" spans="37:43" ht="13.2" x14ac:dyDescent="0.25">
      <c r="AK930" s="59"/>
      <c r="AL930" s="59"/>
      <c r="AM930" s="59"/>
      <c r="AN930" s="59"/>
      <c r="AO930" s="59"/>
      <c r="AP930" s="59"/>
      <c r="AQ930" s="59"/>
    </row>
    <row r="931" spans="37:43" ht="13.2" x14ac:dyDescent="0.25">
      <c r="AK931" s="59"/>
      <c r="AL931" s="59"/>
      <c r="AM931" s="59"/>
      <c r="AN931" s="59"/>
      <c r="AO931" s="59"/>
      <c r="AP931" s="59"/>
      <c r="AQ931" s="59"/>
    </row>
    <row r="932" spans="37:43" ht="13.2" x14ac:dyDescent="0.25">
      <c r="AK932" s="59"/>
      <c r="AL932" s="59"/>
      <c r="AM932" s="59"/>
      <c r="AN932" s="59"/>
      <c r="AO932" s="59"/>
      <c r="AP932" s="59"/>
      <c r="AQ932" s="59"/>
    </row>
    <row r="933" spans="37:43" ht="13.2" x14ac:dyDescent="0.25">
      <c r="AK933" s="59"/>
      <c r="AL933" s="59"/>
      <c r="AM933" s="59"/>
      <c r="AN933" s="59"/>
      <c r="AO933" s="59"/>
      <c r="AP933" s="59"/>
      <c r="AQ933" s="59"/>
    </row>
    <row r="934" spans="37:43" ht="13.2" x14ac:dyDescent="0.25">
      <c r="AK934" s="59"/>
      <c r="AL934" s="59"/>
      <c r="AM934" s="59"/>
      <c r="AN934" s="59"/>
      <c r="AO934" s="59"/>
      <c r="AP934" s="59"/>
      <c r="AQ934" s="59"/>
    </row>
    <row r="935" spans="37:43" ht="13.2" x14ac:dyDescent="0.25">
      <c r="AK935" s="59"/>
      <c r="AL935" s="59"/>
      <c r="AM935" s="59"/>
      <c r="AN935" s="59"/>
      <c r="AO935" s="59"/>
      <c r="AP935" s="59"/>
      <c r="AQ935" s="59"/>
    </row>
    <row r="936" spans="37:43" ht="13.2" x14ac:dyDescent="0.25">
      <c r="AK936" s="59"/>
      <c r="AL936" s="59"/>
      <c r="AM936" s="59"/>
      <c r="AN936" s="59"/>
      <c r="AO936" s="59"/>
      <c r="AP936" s="59"/>
      <c r="AQ936" s="59"/>
    </row>
    <row r="937" spans="37:43" ht="13.2" x14ac:dyDescent="0.25">
      <c r="AK937" s="59"/>
      <c r="AL937" s="59"/>
      <c r="AM937" s="59"/>
      <c r="AN937" s="59"/>
      <c r="AO937" s="59"/>
      <c r="AP937" s="59"/>
      <c r="AQ937" s="59"/>
    </row>
    <row r="938" spans="37:43" ht="13.2" x14ac:dyDescent="0.25">
      <c r="AK938" s="59"/>
      <c r="AL938" s="59"/>
      <c r="AM938" s="59"/>
      <c r="AN938" s="59"/>
      <c r="AO938" s="59"/>
      <c r="AP938" s="59"/>
      <c r="AQ938" s="59"/>
    </row>
    <row r="939" spans="37:43" ht="13.2" x14ac:dyDescent="0.25">
      <c r="AK939" s="59"/>
      <c r="AL939" s="59"/>
      <c r="AM939" s="59"/>
      <c r="AN939" s="59"/>
      <c r="AO939" s="59"/>
      <c r="AP939" s="59"/>
      <c r="AQ939" s="59"/>
    </row>
    <row r="940" spans="37:43" ht="13.2" x14ac:dyDescent="0.25">
      <c r="AK940" s="59"/>
      <c r="AL940" s="59"/>
      <c r="AM940" s="59"/>
      <c r="AN940" s="59"/>
      <c r="AO940" s="59"/>
      <c r="AP940" s="59"/>
      <c r="AQ940" s="59"/>
    </row>
    <row r="941" spans="37:43" ht="13.2" x14ac:dyDescent="0.25">
      <c r="AK941" s="59"/>
      <c r="AL941" s="59"/>
      <c r="AM941" s="59"/>
      <c r="AN941" s="59"/>
      <c r="AO941" s="59"/>
      <c r="AP941" s="59"/>
      <c r="AQ941" s="59"/>
    </row>
    <row r="942" spans="37:43" ht="13.2" x14ac:dyDescent="0.25">
      <c r="AK942" s="59"/>
      <c r="AL942" s="59"/>
      <c r="AM942" s="59"/>
      <c r="AN942" s="59"/>
      <c r="AO942" s="59"/>
      <c r="AP942" s="59"/>
      <c r="AQ942" s="59"/>
    </row>
    <row r="943" spans="37:43" ht="13.2" x14ac:dyDescent="0.25">
      <c r="AK943" s="59"/>
      <c r="AL943" s="59"/>
      <c r="AM943" s="59"/>
      <c r="AN943" s="59"/>
      <c r="AO943" s="59"/>
      <c r="AP943" s="59"/>
      <c r="AQ943" s="59"/>
    </row>
    <row r="944" spans="37:43" ht="13.2" x14ac:dyDescent="0.25">
      <c r="AK944" s="59"/>
      <c r="AL944" s="59"/>
      <c r="AM944" s="59"/>
      <c r="AN944" s="59"/>
      <c r="AO944" s="59"/>
      <c r="AP944" s="59"/>
      <c r="AQ944" s="59"/>
    </row>
    <row r="945" spans="37:43" ht="13.2" x14ac:dyDescent="0.25">
      <c r="AK945" s="59"/>
      <c r="AL945" s="59"/>
      <c r="AM945" s="59"/>
      <c r="AN945" s="59"/>
      <c r="AO945" s="59"/>
      <c r="AP945" s="59"/>
      <c r="AQ945" s="59"/>
    </row>
    <row r="946" spans="37:43" ht="13.2" x14ac:dyDescent="0.25">
      <c r="AK946" s="59"/>
      <c r="AL946" s="59"/>
      <c r="AM946" s="59"/>
      <c r="AN946" s="59"/>
      <c r="AO946" s="59"/>
      <c r="AP946" s="59"/>
      <c r="AQ946" s="59"/>
    </row>
    <row r="947" spans="37:43" ht="13.2" x14ac:dyDescent="0.25">
      <c r="AK947" s="59"/>
      <c r="AL947" s="59"/>
      <c r="AM947" s="59"/>
      <c r="AN947" s="59"/>
      <c r="AO947" s="59"/>
      <c r="AP947" s="59"/>
      <c r="AQ947" s="59"/>
    </row>
    <row r="948" spans="37:43" ht="13.2" x14ac:dyDescent="0.25">
      <c r="AK948" s="59"/>
      <c r="AL948" s="59"/>
      <c r="AM948" s="59"/>
      <c r="AN948" s="59"/>
      <c r="AO948" s="59"/>
      <c r="AP948" s="59"/>
      <c r="AQ948" s="59"/>
    </row>
    <row r="949" spans="37:43" ht="13.2" x14ac:dyDescent="0.25">
      <c r="AK949" s="59"/>
      <c r="AL949" s="59"/>
      <c r="AM949" s="59"/>
      <c r="AN949" s="59"/>
      <c r="AO949" s="59"/>
      <c r="AP949" s="59"/>
      <c r="AQ949" s="59"/>
    </row>
    <row r="950" spans="37:43" ht="13.2" x14ac:dyDescent="0.25">
      <c r="AK950" s="59"/>
      <c r="AL950" s="59"/>
      <c r="AM950" s="59"/>
      <c r="AN950" s="59"/>
      <c r="AO950" s="59"/>
      <c r="AP950" s="59"/>
      <c r="AQ950" s="59"/>
    </row>
    <row r="951" spans="37:43" ht="13.2" x14ac:dyDescent="0.25">
      <c r="AK951" s="59"/>
      <c r="AL951" s="59"/>
      <c r="AM951" s="59"/>
      <c r="AN951" s="59"/>
      <c r="AO951" s="59"/>
      <c r="AP951" s="59"/>
      <c r="AQ951" s="59"/>
    </row>
    <row r="952" spans="37:43" ht="13.2" x14ac:dyDescent="0.25">
      <c r="AK952" s="59"/>
      <c r="AL952" s="59"/>
      <c r="AM952" s="59"/>
      <c r="AN952" s="59"/>
      <c r="AO952" s="59"/>
      <c r="AP952" s="59"/>
      <c r="AQ952" s="59"/>
    </row>
    <row r="953" spans="37:43" ht="13.2" x14ac:dyDescent="0.25">
      <c r="AK953" s="59"/>
      <c r="AL953" s="59"/>
      <c r="AM953" s="59"/>
      <c r="AN953" s="59"/>
      <c r="AO953" s="59"/>
      <c r="AP953" s="59"/>
      <c r="AQ953" s="59"/>
    </row>
    <row r="954" spans="37:43" ht="13.2" x14ac:dyDescent="0.25">
      <c r="AK954" s="59"/>
      <c r="AL954" s="59"/>
      <c r="AM954" s="59"/>
      <c r="AN954" s="59"/>
      <c r="AO954" s="59"/>
      <c r="AP954" s="59"/>
      <c r="AQ954" s="59"/>
    </row>
    <row r="955" spans="37:43" ht="13.2" x14ac:dyDescent="0.25">
      <c r="AK955" s="59"/>
      <c r="AL955" s="59"/>
      <c r="AM955" s="59"/>
      <c r="AN955" s="59"/>
      <c r="AO955" s="59"/>
      <c r="AP955" s="59"/>
      <c r="AQ955" s="59"/>
    </row>
    <row r="956" spans="37:43" ht="13.2" x14ac:dyDescent="0.25">
      <c r="AK956" s="59"/>
      <c r="AL956" s="59"/>
      <c r="AM956" s="59"/>
      <c r="AN956" s="59"/>
      <c r="AO956" s="59"/>
      <c r="AP956" s="59"/>
      <c r="AQ956" s="59"/>
    </row>
    <row r="957" spans="37:43" ht="13.2" x14ac:dyDescent="0.25">
      <c r="AK957" s="59"/>
      <c r="AL957" s="59"/>
      <c r="AM957" s="59"/>
      <c r="AN957" s="59"/>
      <c r="AO957" s="59"/>
      <c r="AP957" s="59"/>
      <c r="AQ957" s="59"/>
    </row>
    <row r="958" spans="37:43" ht="13.2" x14ac:dyDescent="0.25">
      <c r="AK958" s="59"/>
      <c r="AL958" s="59"/>
      <c r="AM958" s="59"/>
      <c r="AN958" s="59"/>
      <c r="AO958" s="59"/>
      <c r="AP958" s="59"/>
      <c r="AQ958" s="59"/>
    </row>
    <row r="959" spans="37:43" ht="13.2" x14ac:dyDescent="0.25">
      <c r="AK959" s="59"/>
      <c r="AL959" s="59"/>
      <c r="AM959" s="59"/>
      <c r="AN959" s="59"/>
      <c r="AO959" s="59"/>
      <c r="AP959" s="59"/>
      <c r="AQ959" s="59"/>
    </row>
    <row r="960" spans="37:43" ht="13.2" x14ac:dyDescent="0.25">
      <c r="AK960" s="59"/>
      <c r="AL960" s="59"/>
      <c r="AM960" s="59"/>
      <c r="AN960" s="59"/>
      <c r="AO960" s="59"/>
      <c r="AP960" s="59"/>
      <c r="AQ960" s="59"/>
    </row>
    <row r="961" spans="37:43" ht="13.2" x14ac:dyDescent="0.25">
      <c r="AK961" s="59"/>
      <c r="AL961" s="59"/>
      <c r="AM961" s="59"/>
      <c r="AN961" s="59"/>
      <c r="AO961" s="59"/>
      <c r="AP961" s="59"/>
      <c r="AQ961" s="59"/>
    </row>
    <row r="962" spans="37:43" ht="13.2" x14ac:dyDescent="0.25">
      <c r="AK962" s="59"/>
      <c r="AL962" s="59"/>
      <c r="AM962" s="59"/>
      <c r="AN962" s="59"/>
      <c r="AO962" s="59"/>
      <c r="AP962" s="59"/>
      <c r="AQ962" s="59"/>
    </row>
    <row r="963" spans="37:43" ht="13.2" x14ac:dyDescent="0.25">
      <c r="AK963" s="59"/>
      <c r="AL963" s="59"/>
      <c r="AM963" s="59"/>
      <c r="AN963" s="59"/>
      <c r="AO963" s="59"/>
      <c r="AP963" s="59"/>
      <c r="AQ963" s="59"/>
    </row>
    <row r="964" spans="37:43" ht="13.2" x14ac:dyDescent="0.25">
      <c r="AK964" s="59"/>
      <c r="AL964" s="59"/>
      <c r="AM964" s="59"/>
      <c r="AN964" s="59"/>
      <c r="AO964" s="59"/>
      <c r="AP964" s="59"/>
      <c r="AQ964" s="59"/>
    </row>
    <row r="965" spans="37:43" ht="13.2" x14ac:dyDescent="0.25">
      <c r="AK965" s="59"/>
      <c r="AL965" s="59"/>
      <c r="AM965" s="59"/>
      <c r="AN965" s="59"/>
      <c r="AO965" s="59"/>
      <c r="AP965" s="59"/>
      <c r="AQ965" s="59"/>
    </row>
    <row r="966" spans="37:43" ht="13.2" x14ac:dyDescent="0.25">
      <c r="AK966" s="59"/>
      <c r="AL966" s="59"/>
      <c r="AM966" s="59"/>
      <c r="AN966" s="59"/>
      <c r="AO966" s="59"/>
      <c r="AP966" s="59"/>
      <c r="AQ966" s="59"/>
    </row>
    <row r="967" spans="37:43" ht="13.2" x14ac:dyDescent="0.25">
      <c r="AK967" s="59"/>
      <c r="AL967" s="59"/>
      <c r="AM967" s="59"/>
      <c r="AN967" s="59"/>
      <c r="AO967" s="59"/>
      <c r="AP967" s="59"/>
      <c r="AQ967" s="59"/>
    </row>
    <row r="968" spans="37:43" ht="13.2" x14ac:dyDescent="0.25">
      <c r="AK968" s="59"/>
      <c r="AL968" s="59"/>
      <c r="AM968" s="59"/>
      <c r="AN968" s="59"/>
      <c r="AO968" s="59"/>
      <c r="AP968" s="59"/>
      <c r="AQ968" s="59"/>
    </row>
    <row r="969" spans="37:43" ht="13.2" x14ac:dyDescent="0.25">
      <c r="AK969" s="59"/>
      <c r="AL969" s="59"/>
      <c r="AM969" s="59"/>
      <c r="AN969" s="59"/>
      <c r="AO969" s="59"/>
      <c r="AP969" s="59"/>
      <c r="AQ969" s="59"/>
    </row>
    <row r="970" spans="37:43" ht="13.2" x14ac:dyDescent="0.25">
      <c r="AK970" s="59"/>
      <c r="AL970" s="59"/>
      <c r="AM970" s="59"/>
      <c r="AN970" s="59"/>
      <c r="AO970" s="59"/>
      <c r="AP970" s="59"/>
      <c r="AQ970" s="59"/>
    </row>
    <row r="971" spans="37:43" ht="13.2" x14ac:dyDescent="0.25">
      <c r="AK971" s="59"/>
      <c r="AL971" s="59"/>
      <c r="AM971" s="59"/>
      <c r="AN971" s="59"/>
      <c r="AO971" s="59"/>
      <c r="AP971" s="59"/>
      <c r="AQ971" s="59"/>
    </row>
    <row r="972" spans="37:43" ht="13.2" x14ac:dyDescent="0.25">
      <c r="AK972" s="59"/>
      <c r="AL972" s="59"/>
      <c r="AM972" s="59"/>
      <c r="AN972" s="59"/>
      <c r="AO972" s="59"/>
      <c r="AP972" s="59"/>
      <c r="AQ972" s="59"/>
    </row>
    <row r="973" spans="37:43" ht="13.2" x14ac:dyDescent="0.25">
      <c r="AK973" s="59"/>
      <c r="AL973" s="59"/>
      <c r="AM973" s="59"/>
      <c r="AN973" s="59"/>
      <c r="AO973" s="59"/>
      <c r="AP973" s="59"/>
      <c r="AQ973" s="59"/>
    </row>
    <row r="974" spans="37:43" ht="13.2" x14ac:dyDescent="0.25">
      <c r="AK974" s="59"/>
      <c r="AL974" s="59"/>
      <c r="AM974" s="59"/>
      <c r="AN974" s="59"/>
      <c r="AO974" s="59"/>
      <c r="AP974" s="59"/>
      <c r="AQ974" s="59"/>
    </row>
    <row r="975" spans="37:43" ht="13.2" x14ac:dyDescent="0.25">
      <c r="AK975" s="59"/>
      <c r="AL975" s="59"/>
      <c r="AM975" s="59"/>
      <c r="AN975" s="59"/>
      <c r="AO975" s="59"/>
      <c r="AP975" s="59"/>
      <c r="AQ975" s="59"/>
    </row>
    <row r="976" spans="37:43" ht="13.2" x14ac:dyDescent="0.25">
      <c r="AK976" s="59"/>
      <c r="AL976" s="59"/>
      <c r="AM976" s="59"/>
      <c r="AN976" s="59"/>
      <c r="AO976" s="59"/>
      <c r="AP976" s="59"/>
      <c r="AQ976" s="59"/>
    </row>
    <row r="977" spans="37:43" ht="13.2" x14ac:dyDescent="0.25">
      <c r="AK977" s="59"/>
      <c r="AL977" s="59"/>
      <c r="AM977" s="59"/>
      <c r="AN977" s="59"/>
      <c r="AO977" s="59"/>
      <c r="AP977" s="59"/>
      <c r="AQ977" s="59"/>
    </row>
    <row r="978" spans="37:43" ht="13.2" x14ac:dyDescent="0.25">
      <c r="AK978" s="59"/>
      <c r="AL978" s="59"/>
      <c r="AM978" s="59"/>
      <c r="AN978" s="59"/>
      <c r="AO978" s="59"/>
      <c r="AP978" s="59"/>
      <c r="AQ978" s="59"/>
    </row>
    <row r="979" spans="37:43" ht="13.2" x14ac:dyDescent="0.25">
      <c r="AK979" s="59"/>
      <c r="AL979" s="59"/>
      <c r="AM979" s="59"/>
      <c r="AN979" s="59"/>
      <c r="AO979" s="59"/>
      <c r="AP979" s="59"/>
      <c r="AQ979" s="59"/>
    </row>
    <row r="980" spans="37:43" ht="13.2" x14ac:dyDescent="0.25">
      <c r="AK980" s="59"/>
      <c r="AL980" s="59"/>
      <c r="AM980" s="59"/>
      <c r="AN980" s="59"/>
      <c r="AO980" s="59"/>
      <c r="AP980" s="59"/>
      <c r="AQ980" s="59"/>
    </row>
    <row r="981" spans="37:43" ht="13.2" x14ac:dyDescent="0.25">
      <c r="AK981" s="59"/>
      <c r="AL981" s="59"/>
      <c r="AM981" s="59"/>
      <c r="AN981" s="59"/>
      <c r="AO981" s="59"/>
      <c r="AP981" s="59"/>
      <c r="AQ981" s="59"/>
    </row>
    <row r="982" spans="37:43" ht="13.2" x14ac:dyDescent="0.25">
      <c r="AK982" s="59"/>
      <c r="AL982" s="59"/>
      <c r="AM982" s="59"/>
      <c r="AN982" s="59"/>
      <c r="AO982" s="59"/>
      <c r="AP982" s="59"/>
      <c r="AQ982" s="59"/>
    </row>
    <row r="983" spans="37:43" ht="13.2" x14ac:dyDescent="0.25">
      <c r="AK983" s="59"/>
      <c r="AL983" s="59"/>
      <c r="AM983" s="59"/>
      <c r="AN983" s="59"/>
      <c r="AO983" s="59"/>
      <c r="AP983" s="59"/>
      <c r="AQ983" s="59"/>
    </row>
    <row r="984" spans="37:43" ht="13.2" x14ac:dyDescent="0.25">
      <c r="AK984" s="59"/>
      <c r="AL984" s="59"/>
      <c r="AM984" s="59"/>
      <c r="AN984" s="59"/>
      <c r="AO984" s="59"/>
      <c r="AP984" s="59"/>
      <c r="AQ984" s="59"/>
    </row>
    <row r="985" spans="37:43" ht="13.2" x14ac:dyDescent="0.25">
      <c r="AK985" s="59"/>
      <c r="AL985" s="59"/>
      <c r="AM985" s="59"/>
      <c r="AN985" s="59"/>
      <c r="AO985" s="59"/>
      <c r="AP985" s="59"/>
      <c r="AQ985" s="59"/>
    </row>
    <row r="986" spans="37:43" ht="13.2" x14ac:dyDescent="0.25">
      <c r="AK986" s="59"/>
      <c r="AL986" s="59"/>
      <c r="AM986" s="59"/>
      <c r="AN986" s="59"/>
      <c r="AO986" s="59"/>
      <c r="AP986" s="59"/>
      <c r="AQ986" s="59"/>
    </row>
    <row r="987" spans="37:43" ht="13.2" x14ac:dyDescent="0.25">
      <c r="AK987" s="59"/>
      <c r="AL987" s="59"/>
      <c r="AM987" s="59"/>
      <c r="AN987" s="59"/>
      <c r="AO987" s="59"/>
      <c r="AP987" s="59"/>
      <c r="AQ987" s="59"/>
    </row>
    <row r="988" spans="37:43" ht="13.2" x14ac:dyDescent="0.25">
      <c r="AK988" s="59"/>
      <c r="AL988" s="59"/>
      <c r="AM988" s="59"/>
      <c r="AN988" s="59"/>
      <c r="AO988" s="59"/>
      <c r="AP988" s="59"/>
      <c r="AQ988" s="59"/>
    </row>
    <row r="989" spans="37:43" ht="13.2" x14ac:dyDescent="0.25">
      <c r="AK989" s="59"/>
      <c r="AL989" s="59"/>
      <c r="AM989" s="59"/>
      <c r="AN989" s="59"/>
      <c r="AO989" s="59"/>
      <c r="AP989" s="59"/>
      <c r="AQ989" s="59"/>
    </row>
    <row r="990" spans="37:43" ht="13.2" x14ac:dyDescent="0.25">
      <c r="AK990" s="59"/>
      <c r="AL990" s="59"/>
      <c r="AM990" s="59"/>
      <c r="AN990" s="59"/>
      <c r="AO990" s="59"/>
      <c r="AP990" s="59"/>
      <c r="AQ990" s="59"/>
    </row>
    <row r="991" spans="37:43" ht="13.2" x14ac:dyDescent="0.25">
      <c r="AK991" s="59"/>
      <c r="AL991" s="59"/>
      <c r="AM991" s="59"/>
      <c r="AN991" s="59"/>
      <c r="AO991" s="59"/>
      <c r="AP991" s="59"/>
      <c r="AQ991" s="59"/>
    </row>
    <row r="992" spans="37:43" ht="13.2" x14ac:dyDescent="0.25">
      <c r="AK992" s="59"/>
      <c r="AL992" s="59"/>
      <c r="AM992" s="59"/>
      <c r="AN992" s="59"/>
      <c r="AO992" s="59"/>
      <c r="AP992" s="59"/>
      <c r="AQ992" s="59"/>
    </row>
    <row r="993" spans="37:43" ht="13.2" x14ac:dyDescent="0.25">
      <c r="AK993" s="59"/>
      <c r="AL993" s="59"/>
      <c r="AM993" s="59"/>
      <c r="AN993" s="59"/>
      <c r="AO993" s="59"/>
      <c r="AP993" s="59"/>
      <c r="AQ993" s="59"/>
    </row>
    <row r="994" spans="37:43" ht="13.2" x14ac:dyDescent="0.25">
      <c r="AK994" s="59"/>
      <c r="AL994" s="59"/>
      <c r="AM994" s="59"/>
      <c r="AN994" s="59"/>
      <c r="AO994" s="59"/>
      <c r="AP994" s="59"/>
      <c r="AQ994" s="59"/>
    </row>
    <row r="995" spans="37:43" ht="13.2" x14ac:dyDescent="0.25">
      <c r="AK995" s="59"/>
      <c r="AL995" s="59"/>
      <c r="AM995" s="59"/>
      <c r="AN995" s="59"/>
      <c r="AO995" s="59"/>
      <c r="AP995" s="59"/>
      <c r="AQ995" s="59"/>
    </row>
    <row r="996" spans="37:43" ht="13.2" x14ac:dyDescent="0.25">
      <c r="AK996" s="59"/>
      <c r="AL996" s="59"/>
      <c r="AM996" s="59"/>
      <c r="AN996" s="59"/>
      <c r="AO996" s="59"/>
      <c r="AP996" s="59"/>
      <c r="AQ996" s="59"/>
    </row>
    <row r="997" spans="37:43" ht="13.2" x14ac:dyDescent="0.25">
      <c r="AK997" s="59"/>
      <c r="AL997" s="59"/>
      <c r="AM997" s="59"/>
      <c r="AN997" s="59"/>
      <c r="AO997" s="59"/>
      <c r="AP997" s="59"/>
      <c r="AQ997" s="59"/>
    </row>
    <row r="998" spans="37:43" ht="13.2" x14ac:dyDescent="0.25">
      <c r="AK998" s="59"/>
      <c r="AL998" s="59"/>
      <c r="AM998" s="59"/>
      <c r="AN998" s="59"/>
      <c r="AO998" s="59"/>
      <c r="AP998" s="59"/>
      <c r="AQ998" s="59"/>
    </row>
    <row r="999" spans="37:43" ht="13.2" x14ac:dyDescent="0.25">
      <c r="AK999" s="59"/>
      <c r="AL999" s="59"/>
      <c r="AM999" s="59"/>
      <c r="AN999" s="59"/>
      <c r="AO999" s="59"/>
      <c r="AP999" s="59"/>
      <c r="AQ999" s="59"/>
    </row>
  </sheetData>
  <hyperlinks>
    <hyperlink ref="AK5" r:id="rId1" xr:uid="{00000000-0004-0000-0200-000000000000}"/>
    <hyperlink ref="AL5" r:id="rId2" xr:uid="{00000000-0004-0000-0200-000001000000}"/>
    <hyperlink ref="AM5" r:id="rId3" xr:uid="{00000000-0004-0000-0200-000002000000}"/>
    <hyperlink ref="AQ5" r:id="rId4" xr:uid="{00000000-0004-0000-0200-000003000000}"/>
    <hyperlink ref="AK6" r:id="rId5" xr:uid="{00000000-0004-0000-0200-000004000000}"/>
    <hyperlink ref="AL6" r:id="rId6" xr:uid="{00000000-0004-0000-0200-000005000000}"/>
    <hyperlink ref="AM6" r:id="rId7" xr:uid="{00000000-0004-0000-0200-000006000000}"/>
    <hyperlink ref="AN6" r:id="rId8" xr:uid="{00000000-0004-0000-0200-000007000000}"/>
    <hyperlink ref="AQ6" r:id="rId9" xr:uid="{00000000-0004-0000-0200-000008000000}"/>
    <hyperlink ref="AK7" r:id="rId10" xr:uid="{00000000-0004-0000-0200-000009000000}"/>
    <hyperlink ref="AL7" r:id="rId11" xr:uid="{00000000-0004-0000-0200-00000A000000}"/>
    <hyperlink ref="AM7" r:id="rId12" xr:uid="{00000000-0004-0000-0200-00000B000000}"/>
    <hyperlink ref="AN7" r:id="rId13" xr:uid="{00000000-0004-0000-0200-00000C000000}"/>
    <hyperlink ref="AO7" r:id="rId14" xr:uid="{00000000-0004-0000-0200-00000D000000}"/>
    <hyperlink ref="AP7" r:id="rId15" xr:uid="{00000000-0004-0000-0200-00000E000000}"/>
    <hyperlink ref="AQ7" r:id="rId16" xr:uid="{00000000-0004-0000-02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AKTIF</vt:lpstr>
      <vt:lpstr>NON AKTIF</vt:lpstr>
      <vt:lpstr>BACK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Zulham Ependi</cp:lastModifiedBy>
  <dcterms:modified xsi:type="dcterms:W3CDTF">2026-09-03T09:41:07Z</dcterms:modified>
</cp:coreProperties>
</file>